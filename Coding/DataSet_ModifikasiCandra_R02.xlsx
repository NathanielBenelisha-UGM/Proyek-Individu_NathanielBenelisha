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4941FE8D-F810-4C96-ACA3-C0DBCB4FCDDE}" xr6:coauthVersionLast="47" xr6:coauthVersionMax="47" xr10:uidLastSave="{00000000-0000-0000-0000-000000000000}"/>
  <bookViews>
    <workbookView xWindow="9510" yWindow="0" windowWidth="9780" windowHeight="11370" firstSheet="2" activeTab="3" xr2:uid="{66C640A2-6CD8-4DC7-8A7F-5DF93C6B9840}"/>
  </bookViews>
  <sheets>
    <sheet name="Gen" sheetId="1" r:id="rId1"/>
    <sheet name="Demand" sheetId="2" r:id="rId2"/>
    <sheet name="Battery" sheetId="3" r:id="rId3"/>
    <sheet name="WT" sheetId="4" r:id="rId4"/>
    <sheet name="Potential" sheetId="5" r:id="rId5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<sst xmlns="http://schemas.openxmlformats.org/spreadsheetml/2006/main" count="71" uniqueCount="70">
  <si>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</si>
  <si>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</si>
  <si>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</si>
  <si>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</si>
  <si>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</si>
  <si>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</si>
  <si>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</si>
  <si>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</si>
  <si>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</si>
  <si>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</si>
  <si>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</si>
  <si>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</si>
  <si>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</si>
  <si>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</si>
  <si>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</si>
  <si>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</si>
  <si>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</si>
  <si>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</si>
  <si>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</si>
  <si>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</si>
  <si>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</si>
  <si>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</si>
  <si>
    <t>Droop</t>
  </si>
  <si>
    <t>PFR_Fraction</t>
  </si>
  <si>
    <t>FreeGovernor</t>
  </si>
  <si>
    <t>Potensi PV (MW)</t>
  </si>
  <si>
    <t>Potensi WT (MW)</t>
  </si>
  <si>
    <t>H</t>
  </si>
  <si>
    <t>Tg</t>
  </si>
  <si>
    <t>G8</t>
  </si>
  <si>
    <t>G9</t>
  </si>
  <si>
    <t>G10</t>
  </si>
  <si>
    <t>PLTU 1</t>
  </si>
  <si>
    <t>PLTGU 2</t>
  </si>
  <si>
    <t>PLTG 2</t>
  </si>
  <si>
    <t>PLTG 1</t>
  </si>
  <si>
    <t>PLTU 2</t>
  </si>
  <si>
    <t>PLTGU 1</t>
  </si>
  <si>
    <t>PLTGU 3</t>
  </si>
  <si>
    <t>PLTGU 4</t>
  </si>
  <si>
    <t>PLTU 3</t>
  </si>
  <si>
    <t>PLTU 4</t>
  </si>
  <si>
    <t>InitialStatus</t>
  </si>
  <si>
    <t>InitialPower</t>
  </si>
  <si>
    <t>PrevUpTime</t>
  </si>
  <si>
    <t>PrevDownTime</t>
  </si>
  <si>
    <t>PrimResCost</t>
  </si>
  <si>
    <t>FreqDeadBand</t>
  </si>
  <si>
    <t>GovRamp(MW/s)</t>
  </si>
  <si>
    <t>PrimRampUp</t>
  </si>
  <si>
    <t>Batt</t>
  </si>
  <si>
    <t>B1</t>
  </si>
  <si>
    <t>B2</t>
  </si>
  <si>
    <t>SOC_Max</t>
  </si>
  <si>
    <t>SOC_Min</t>
  </si>
  <si>
    <t>DR_Max</t>
  </si>
  <si>
    <t>CR_Max</t>
  </si>
  <si>
    <t>Charge_Eff</t>
  </si>
  <si>
    <t>Discharge_Eff</t>
  </si>
  <si>
    <t>InitialSOC</t>
  </si>
  <si>
    <t>FinalSOC</t>
  </si>
  <si>
    <t>Wind</t>
  </si>
  <si>
    <t>WT1</t>
  </si>
  <si>
    <t>WT_Num</t>
  </si>
  <si>
    <t>WT_Rated</t>
  </si>
  <si>
    <t>WT_pu</t>
  </si>
  <si>
    <t>Kw_VI</t>
  </si>
  <si>
    <t>Kb_VI</t>
  </si>
  <si>
    <t>Eff_VI</t>
  </si>
  <si>
    <t>Effw_VI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</si>
</sst>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6</xdr:col>
      <xdr:colOff>133794</xdr:colOff>
      <xdr:row>20</xdr:row>
      <xdr:rowOff>28821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1FF3A-3F46-29FF-A4F4-089187760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0353" y="2614706"/>
          <a:ext cx="1358970" cy="1149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Z17"/>
  <sheetViews>
    <sheetView zoomScale="70" zoomScaleNormal="70" workbookViewId="0">
      <selection activeCell="P16" sqref="P16"/>
    </sheetView>
  </sheetViews>
  <sheetFormatPr defaultRowHeight="14.5" x14ac:dyDescent="0.35"/>
  <cols>
    <col min="23" max="23" width="11.1796875" customWidth="1"/>
    <col min="24" max="24" width="12.9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22</v>
      </c>
      <c r="O1" t="s">
        <v>23</v>
      </c>
      <c r="P1" t="s">
        <v>24</v>
      </c>
      <c r="Q1" t="s">
        <v>27</v>
      </c>
      <c r="R1" t="s">
        <v>28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</row>
    <row r="2" spans="1:26" x14ac:dyDescent="0.35">
      <c r="A2" t="s">
        <v>13</v>
      </c>
      <c r="B2" t="s">
        <v>32</v>
      </c>
      <c r="C2" s="1">
        <v>627</v>
      </c>
      <c r="D2" s="1">
        <v>1176</v>
      </c>
      <c r="E2" s="1">
        <v>0</v>
      </c>
      <c r="F2" s="1">
        <v>26.089309859200004</v>
      </c>
      <c r="G2" s="1">
        <v>3594.8580056927967</v>
      </c>
      <c r="H2" s="1">
        <v>58800</v>
      </c>
      <c r="I2" s="1">
        <v>0</v>
      </c>
      <c r="J2" s="1">
        <v>120</v>
      </c>
      <c r="K2" s="1">
        <v>120</v>
      </c>
      <c r="L2" s="1">
        <v>23</v>
      </c>
      <c r="M2" s="1">
        <v>23</v>
      </c>
      <c r="N2" s="1">
        <v>0.05</v>
      </c>
      <c r="O2" s="1">
        <v>0.15</v>
      </c>
      <c r="P2" s="1">
        <v>1</v>
      </c>
      <c r="Q2" s="1">
        <v>4</v>
      </c>
      <c r="R2" s="1">
        <v>2.25</v>
      </c>
      <c r="S2" s="1">
        <v>1</v>
      </c>
      <c r="T2">
        <v>1176</v>
      </c>
      <c r="U2" s="1">
        <v>99</v>
      </c>
      <c r="V2" s="1">
        <v>0</v>
      </c>
      <c r="W2" s="1">
        <v>0</v>
      </c>
      <c r="X2" s="1">
        <v>0</v>
      </c>
      <c r="Y2">
        <v>129.79999999999998</v>
      </c>
      <c r="Z2">
        <f>D2-C2</f>
        <v>549</v>
      </c>
    </row>
    <row r="3" spans="1:26" x14ac:dyDescent="0.35">
      <c r="A3" t="s">
        <v>14</v>
      </c>
      <c r="B3" t="s">
        <v>37</v>
      </c>
      <c r="C3" s="1">
        <v>340</v>
      </c>
      <c r="D3" s="1">
        <v>1125</v>
      </c>
      <c r="E3" s="1">
        <v>0</v>
      </c>
      <c r="F3" s="1">
        <v>51.250826969999999</v>
      </c>
      <c r="G3" s="1">
        <v>3825.0617201999994</v>
      </c>
      <c r="H3" s="1">
        <v>90000</v>
      </c>
      <c r="I3" s="1">
        <v>0</v>
      </c>
      <c r="J3" s="1">
        <v>300</v>
      </c>
      <c r="K3" s="1">
        <v>300</v>
      </c>
      <c r="L3" s="1">
        <v>2</v>
      </c>
      <c r="M3" s="1">
        <v>12</v>
      </c>
      <c r="N3" s="1">
        <v>0.05</v>
      </c>
      <c r="O3" s="1">
        <v>0.2</v>
      </c>
      <c r="P3" s="1">
        <v>1</v>
      </c>
      <c r="Q3" s="1">
        <v>9</v>
      </c>
      <c r="R3" s="1">
        <v>1.5</v>
      </c>
      <c r="S3" s="1">
        <v>1</v>
      </c>
      <c r="T3">
        <v>340</v>
      </c>
      <c r="U3" s="1">
        <v>99</v>
      </c>
      <c r="V3" s="1">
        <v>0</v>
      </c>
      <c r="W3" s="1">
        <v>0</v>
      </c>
      <c r="X3" s="1">
        <v>0</v>
      </c>
      <c r="Y3">
        <v>31.654</v>
      </c>
      <c r="Z3">
        <f t="shared" ref="Z3:Z11" si="0">D3-C3</f>
        <v>785</v>
      </c>
    </row>
    <row r="4" spans="1:26" x14ac:dyDescent="0.35">
      <c r="A4" t="s">
        <v>15</v>
      </c>
      <c r="B4" t="s">
        <v>36</v>
      </c>
      <c r="C4" s="1">
        <v>600</v>
      </c>
      <c r="D4" s="1">
        <v>969</v>
      </c>
      <c r="E4" s="1">
        <v>0</v>
      </c>
      <c r="F4" s="1">
        <v>26.089309859199993</v>
      </c>
      <c r="G4" s="1">
        <v>3440.0555078400066</v>
      </c>
      <c r="H4" s="1">
        <v>48450</v>
      </c>
      <c r="I4" s="1">
        <v>0</v>
      </c>
      <c r="J4" s="1">
        <v>120</v>
      </c>
      <c r="K4" s="1">
        <v>120</v>
      </c>
      <c r="L4" s="1">
        <v>23</v>
      </c>
      <c r="M4" s="1">
        <v>23</v>
      </c>
      <c r="N4" s="1">
        <v>0.05</v>
      </c>
      <c r="O4" s="1">
        <v>0.2</v>
      </c>
      <c r="P4" s="1">
        <v>1</v>
      </c>
      <c r="Q4" s="1">
        <v>4</v>
      </c>
      <c r="R4" s="1">
        <v>1</v>
      </c>
      <c r="S4" s="1">
        <v>1</v>
      </c>
      <c r="T4">
        <v>600</v>
      </c>
      <c r="U4" s="1">
        <v>99</v>
      </c>
      <c r="V4" s="1">
        <v>0</v>
      </c>
      <c r="W4" s="1">
        <v>0</v>
      </c>
      <c r="X4" s="1">
        <v>0</v>
      </c>
      <c r="Y4">
        <v>85.55</v>
      </c>
      <c r="Z4">
        <f t="shared" si="0"/>
        <v>369</v>
      </c>
    </row>
    <row r="5" spans="1:26" x14ac:dyDescent="0.35">
      <c r="A5" t="s">
        <v>16</v>
      </c>
      <c r="B5" t="s">
        <v>35</v>
      </c>
      <c r="C5" s="1">
        <v>85</v>
      </c>
      <c r="D5" s="1">
        <v>130</v>
      </c>
      <c r="E5" s="1">
        <v>0</v>
      </c>
      <c r="F5" s="1">
        <v>89.128422280000009</v>
      </c>
      <c r="G5" s="1">
        <v>1662.9236578999989</v>
      </c>
      <c r="H5" s="1">
        <v>3120</v>
      </c>
      <c r="I5" s="1">
        <v>0</v>
      </c>
      <c r="J5" s="1">
        <v>480</v>
      </c>
      <c r="K5" s="1">
        <v>480</v>
      </c>
      <c r="L5" s="1">
        <v>12</v>
      </c>
      <c r="M5" s="1">
        <v>10</v>
      </c>
      <c r="N5" s="1">
        <v>0.05</v>
      </c>
      <c r="O5" s="1">
        <v>0.15</v>
      </c>
      <c r="P5" s="1">
        <v>1</v>
      </c>
      <c r="Q5" s="1">
        <v>6</v>
      </c>
      <c r="R5" s="1">
        <v>1.75</v>
      </c>
      <c r="S5" s="1">
        <v>1</v>
      </c>
      <c r="T5">
        <v>85</v>
      </c>
      <c r="U5" s="1">
        <v>99</v>
      </c>
      <c r="V5" s="1">
        <v>0</v>
      </c>
      <c r="W5" s="1">
        <v>0</v>
      </c>
      <c r="X5" s="1">
        <v>0</v>
      </c>
      <c r="Y5">
        <v>31.948</v>
      </c>
      <c r="Z5">
        <f t="shared" si="0"/>
        <v>45</v>
      </c>
    </row>
    <row r="6" spans="1:26" x14ac:dyDescent="0.35">
      <c r="A6" t="s">
        <v>17</v>
      </c>
      <c r="B6" t="s">
        <v>34</v>
      </c>
      <c r="C6" s="1">
        <v>66</v>
      </c>
      <c r="D6" s="1">
        <v>108</v>
      </c>
      <c r="E6" s="1">
        <v>0</v>
      </c>
      <c r="F6" s="1">
        <v>89.128422279999995</v>
      </c>
      <c r="G6" s="1">
        <v>1291.2113108400008</v>
      </c>
      <c r="H6" s="1">
        <v>2592</v>
      </c>
      <c r="I6" s="1">
        <v>0</v>
      </c>
      <c r="J6" s="1">
        <v>480</v>
      </c>
      <c r="K6" s="1">
        <v>480</v>
      </c>
      <c r="L6" s="1">
        <v>2</v>
      </c>
      <c r="M6" s="1">
        <v>2</v>
      </c>
      <c r="N6" s="1">
        <v>0.05</v>
      </c>
      <c r="O6" s="1">
        <v>0.2</v>
      </c>
      <c r="P6" s="1">
        <v>1</v>
      </c>
      <c r="Q6" s="1">
        <v>6</v>
      </c>
      <c r="R6" s="1">
        <v>1.25</v>
      </c>
      <c r="S6" s="1">
        <v>1</v>
      </c>
      <c r="T6">
        <v>66</v>
      </c>
      <c r="U6" s="1">
        <v>99</v>
      </c>
      <c r="V6" s="1">
        <v>0</v>
      </c>
      <c r="W6" s="1">
        <v>0</v>
      </c>
      <c r="X6" s="1">
        <v>0</v>
      </c>
      <c r="Y6">
        <v>24.891999999999999</v>
      </c>
      <c r="Z6">
        <f t="shared" si="0"/>
        <v>42</v>
      </c>
    </row>
    <row r="7" spans="1:26" x14ac:dyDescent="0.35">
      <c r="A7" t="s">
        <v>18</v>
      </c>
      <c r="B7" t="s">
        <v>33</v>
      </c>
      <c r="C7" s="1">
        <v>250</v>
      </c>
      <c r="D7" s="1">
        <v>1095</v>
      </c>
      <c r="E7" s="1">
        <v>0</v>
      </c>
      <c r="F7" s="1">
        <v>51.250826969999999</v>
      </c>
      <c r="G7" s="1">
        <v>2812.5453825000004</v>
      </c>
      <c r="H7" s="1">
        <v>87600</v>
      </c>
      <c r="I7" s="1">
        <v>0</v>
      </c>
      <c r="J7" s="1">
        <v>300</v>
      </c>
      <c r="K7" s="1">
        <v>300</v>
      </c>
      <c r="L7" s="1">
        <v>2</v>
      </c>
      <c r="M7" s="1">
        <v>2</v>
      </c>
      <c r="N7" s="1">
        <v>0.05</v>
      </c>
      <c r="O7" s="1">
        <v>0.2</v>
      </c>
      <c r="P7" s="1">
        <v>1</v>
      </c>
      <c r="Q7" s="1">
        <v>9</v>
      </c>
      <c r="R7" s="1">
        <v>1</v>
      </c>
      <c r="S7" s="1">
        <v>1</v>
      </c>
      <c r="T7">
        <v>250</v>
      </c>
      <c r="U7" s="1">
        <v>99</v>
      </c>
      <c r="V7" s="1">
        <v>0</v>
      </c>
      <c r="W7" s="1">
        <v>0</v>
      </c>
      <c r="X7" s="1">
        <v>0</v>
      </c>
      <c r="Y7">
        <v>33.663000000000004</v>
      </c>
      <c r="Z7">
        <f t="shared" si="0"/>
        <v>845</v>
      </c>
    </row>
    <row r="8" spans="1:26" x14ac:dyDescent="0.35">
      <c r="A8" t="s">
        <v>19</v>
      </c>
      <c r="B8" t="s">
        <v>38</v>
      </c>
      <c r="C8" s="1">
        <v>248</v>
      </c>
      <c r="D8" s="1">
        <v>810</v>
      </c>
      <c r="E8" s="1">
        <v>0</v>
      </c>
      <c r="F8" s="1">
        <v>51.250826969999999</v>
      </c>
      <c r="G8" s="1">
        <v>2790.0450194399964</v>
      </c>
      <c r="H8" s="1">
        <v>64800</v>
      </c>
      <c r="I8" s="1">
        <v>0</v>
      </c>
      <c r="J8" s="1">
        <v>300</v>
      </c>
      <c r="K8" s="1">
        <v>300</v>
      </c>
      <c r="L8" s="1">
        <v>23</v>
      </c>
      <c r="M8" s="1">
        <v>23</v>
      </c>
      <c r="N8" s="1">
        <v>0.05</v>
      </c>
      <c r="O8" s="1">
        <v>0.2</v>
      </c>
      <c r="P8" s="1">
        <v>1</v>
      </c>
      <c r="Q8" s="1">
        <v>9</v>
      </c>
      <c r="R8" s="1">
        <v>1</v>
      </c>
      <c r="S8" s="1">
        <v>1</v>
      </c>
      <c r="T8">
        <v>248</v>
      </c>
      <c r="U8" s="1">
        <v>99</v>
      </c>
      <c r="V8" s="1">
        <v>0</v>
      </c>
      <c r="W8" s="1">
        <v>0</v>
      </c>
      <c r="X8" s="1">
        <v>0</v>
      </c>
      <c r="Y8">
        <v>28.42</v>
      </c>
      <c r="Z8">
        <f t="shared" si="0"/>
        <v>562</v>
      </c>
    </row>
    <row r="9" spans="1:26" x14ac:dyDescent="0.35">
      <c r="A9" t="s">
        <v>29</v>
      </c>
      <c r="B9" t="s">
        <v>39</v>
      </c>
      <c r="C9" s="1">
        <v>347.85</v>
      </c>
      <c r="D9" s="1">
        <v>773</v>
      </c>
      <c r="E9" s="1">
        <v>0</v>
      </c>
      <c r="F9" s="1">
        <v>51.250826970000013</v>
      </c>
      <c r="G9" s="1">
        <v>3913.3756452104935</v>
      </c>
      <c r="H9" s="1">
        <v>61840</v>
      </c>
      <c r="I9" s="1">
        <v>0</v>
      </c>
      <c r="J9" s="1">
        <v>300</v>
      </c>
      <c r="K9" s="1">
        <v>300</v>
      </c>
      <c r="L9" s="1">
        <v>1</v>
      </c>
      <c r="M9" s="1">
        <v>2</v>
      </c>
      <c r="N9" s="1">
        <v>0.05</v>
      </c>
      <c r="O9" s="1">
        <v>0.2</v>
      </c>
      <c r="P9" s="1">
        <v>1</v>
      </c>
      <c r="Q9" s="1">
        <v>9</v>
      </c>
      <c r="R9" s="1">
        <v>1</v>
      </c>
      <c r="S9" s="1">
        <v>1</v>
      </c>
      <c r="T9">
        <v>347.85</v>
      </c>
      <c r="U9" s="1">
        <v>99</v>
      </c>
      <c r="V9" s="1">
        <v>0</v>
      </c>
      <c r="W9" s="1">
        <v>0</v>
      </c>
      <c r="X9" s="1">
        <v>0</v>
      </c>
      <c r="Y9">
        <v>27.636000000000003</v>
      </c>
      <c r="Z9">
        <f t="shared" si="0"/>
        <v>425.15</v>
      </c>
    </row>
    <row r="10" spans="1:26" x14ac:dyDescent="0.35">
      <c r="A10" s="2" t="s">
        <v>30</v>
      </c>
      <c r="B10" s="2" t="s">
        <v>40</v>
      </c>
      <c r="C10" s="1">
        <v>540</v>
      </c>
      <c r="D10" s="1">
        <v>870</v>
      </c>
      <c r="E10" s="1">
        <v>0</v>
      </c>
      <c r="F10" s="1">
        <v>26.089309859199993</v>
      </c>
      <c r="G10" s="1">
        <v>3096.0499570560023</v>
      </c>
      <c r="H10" s="1">
        <v>43500</v>
      </c>
      <c r="I10" s="1">
        <v>0</v>
      </c>
      <c r="J10" s="1">
        <v>120</v>
      </c>
      <c r="K10" s="1">
        <v>120</v>
      </c>
      <c r="L10" s="1">
        <v>1</v>
      </c>
      <c r="M10" s="1">
        <v>3</v>
      </c>
      <c r="N10" s="1">
        <v>0.05</v>
      </c>
      <c r="O10" s="1">
        <v>0.2</v>
      </c>
      <c r="P10" s="1">
        <v>1</v>
      </c>
      <c r="Q10" s="1">
        <v>4</v>
      </c>
      <c r="R10" s="1">
        <v>1</v>
      </c>
      <c r="S10" s="1">
        <v>1</v>
      </c>
      <c r="T10">
        <v>540</v>
      </c>
      <c r="U10" s="1">
        <v>99</v>
      </c>
      <c r="V10" s="1">
        <v>0</v>
      </c>
      <c r="W10" s="1">
        <v>0</v>
      </c>
      <c r="X10" s="1">
        <v>0</v>
      </c>
      <c r="Y10">
        <v>102.07</v>
      </c>
      <c r="Z10">
        <f t="shared" si="0"/>
        <v>330</v>
      </c>
    </row>
    <row r="11" spans="1:26" x14ac:dyDescent="0.35">
      <c r="A11" s="2" t="s">
        <v>31</v>
      </c>
      <c r="B11" s="2" t="s">
        <v>41</v>
      </c>
      <c r="C11" s="1">
        <v>600</v>
      </c>
      <c r="D11" s="1">
        <v>840</v>
      </c>
      <c r="E11" s="1">
        <v>0</v>
      </c>
      <c r="F11" s="1">
        <v>26.089309859199997</v>
      </c>
      <c r="G11" s="1">
        <v>3440.055507840003</v>
      </c>
      <c r="H11" s="1">
        <v>42000</v>
      </c>
      <c r="I11" s="1">
        <v>0</v>
      </c>
      <c r="J11" s="1">
        <v>120</v>
      </c>
      <c r="K11" s="1">
        <v>120</v>
      </c>
      <c r="L11" s="1">
        <v>23</v>
      </c>
      <c r="M11" s="1">
        <v>23</v>
      </c>
      <c r="N11" s="1">
        <v>0.05</v>
      </c>
      <c r="O11" s="1">
        <v>0.2</v>
      </c>
      <c r="P11" s="1">
        <v>1</v>
      </c>
      <c r="Q11" s="1">
        <v>4</v>
      </c>
      <c r="R11" s="1">
        <v>1</v>
      </c>
      <c r="S11" s="1">
        <v>1</v>
      </c>
      <c r="T11">
        <v>600</v>
      </c>
      <c r="U11" s="1">
        <v>99</v>
      </c>
      <c r="V11" s="1">
        <v>0</v>
      </c>
      <c r="W11" s="1">
        <v>0</v>
      </c>
      <c r="X11" s="1">
        <v>0</v>
      </c>
      <c r="Y11">
        <v>122.72</v>
      </c>
      <c r="Z11">
        <f t="shared" si="0"/>
        <v>240</v>
      </c>
    </row>
    <row r="12" spans="1:26" x14ac:dyDescent="0.35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6" x14ac:dyDescent="0.35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26" x14ac:dyDescent="0.35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26" x14ac:dyDescent="0.35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26" x14ac:dyDescent="0.35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D25"/>
  <sheetViews>
    <sheetView workbookViewId="0">
      <selection activeCell="H7" sqref="H7"/>
    </sheetView>
  </sheetViews>
  <sheetFormatPr defaultRowHeight="14.5" x14ac:dyDescent="0.35"/>
  <sheetData>
    <row r="1" spans="1:4" x14ac:dyDescent="0.35">
      <c r="A1" s="1" t="s">
        <v>20</v>
      </c>
      <c r="B1" s="1" t="s">
        <v>21</v>
      </c>
      <c r="C1" t="s">
        <v>25</v>
      </c>
      <c r="D1" t="s">
        <v>26</v>
      </c>
    </row>
    <row r="2" spans="1:4" x14ac:dyDescent="0.35">
      <c r="A2" s="1">
        <v>1</v>
      </c>
      <c r="B2">
        <v>4225.6768346587305</v>
      </c>
      <c r="C2">
        <v>0</v>
      </c>
      <c r="D2">
        <v>39</v>
      </c>
    </row>
    <row r="3" spans="1:4" x14ac:dyDescent="0.35">
      <c r="A3" s="1">
        <v>2</v>
      </c>
      <c r="B3">
        <v>4173.1684539200869</v>
      </c>
      <c r="C3">
        <v>0</v>
      </c>
      <c r="D3">
        <v>42</v>
      </c>
    </row>
    <row r="4" spans="1:4" x14ac:dyDescent="0.35">
      <c r="A4" s="1">
        <v>3</v>
      </c>
      <c r="B4">
        <v>4089.201785627165</v>
      </c>
      <c r="C4">
        <v>0</v>
      </c>
      <c r="D4">
        <v>45</v>
      </c>
    </row>
    <row r="5" spans="1:4" x14ac:dyDescent="0.35">
      <c r="A5" s="1">
        <v>4</v>
      </c>
      <c r="B5">
        <v>4009.3833712250575</v>
      </c>
      <c r="C5">
        <v>0</v>
      </c>
      <c r="D5">
        <v>43</v>
      </c>
    </row>
    <row r="6" spans="1:4" x14ac:dyDescent="0.35">
      <c r="A6" s="1">
        <v>5</v>
      </c>
      <c r="B6">
        <v>4009.3833712250575</v>
      </c>
      <c r="C6">
        <v>0</v>
      </c>
      <c r="D6">
        <v>41</v>
      </c>
    </row>
    <row r="7" spans="1:4" x14ac:dyDescent="0.35">
      <c r="A7" s="1">
        <v>6</v>
      </c>
      <c r="B7">
        <v>4211.5210225886722</v>
      </c>
      <c r="C7">
        <v>4</v>
      </c>
      <c r="D7">
        <v>36</v>
      </c>
    </row>
    <row r="8" spans="1:4" x14ac:dyDescent="0.35">
      <c r="A8" s="1">
        <v>7</v>
      </c>
      <c r="B8">
        <v>4273.0604107918234</v>
      </c>
      <c r="C8">
        <v>12</v>
      </c>
      <c r="D8">
        <v>30</v>
      </c>
    </row>
    <row r="9" spans="1:4" x14ac:dyDescent="0.35">
      <c r="A9" s="1">
        <v>8</v>
      </c>
      <c r="B9">
        <v>4224.6919373566861</v>
      </c>
      <c r="C9">
        <v>28</v>
      </c>
      <c r="D9">
        <v>24</v>
      </c>
    </row>
    <row r="10" spans="1:4" x14ac:dyDescent="0.35">
      <c r="A10" s="1">
        <v>9</v>
      </c>
      <c r="B10">
        <v>4531.4540605942329</v>
      </c>
      <c r="C10">
        <v>48</v>
      </c>
      <c r="D10">
        <v>21</v>
      </c>
    </row>
    <row r="11" spans="1:4" x14ac:dyDescent="0.35">
      <c r="A11" s="1">
        <v>10</v>
      </c>
      <c r="B11">
        <v>4847.0719129628733</v>
      </c>
      <c r="C11">
        <v>64</v>
      </c>
      <c r="D11">
        <v>18</v>
      </c>
    </row>
    <row r="12" spans="1:4" x14ac:dyDescent="0.35">
      <c r="A12" s="1">
        <v>11</v>
      </c>
      <c r="B12">
        <v>4980.9845596916621</v>
      </c>
      <c r="C12">
        <v>86</v>
      </c>
      <c r="D12">
        <v>21</v>
      </c>
    </row>
    <row r="13" spans="1:4" x14ac:dyDescent="0.35">
      <c r="A13" s="1">
        <v>12</v>
      </c>
      <c r="B13">
        <v>5032.1157535249067</v>
      </c>
      <c r="C13">
        <v>150</v>
      </c>
      <c r="D13">
        <v>24</v>
      </c>
    </row>
    <row r="14" spans="1:4" x14ac:dyDescent="0.35">
      <c r="A14" s="1">
        <v>13</v>
      </c>
      <c r="B14">
        <v>4781.5845889642387</v>
      </c>
      <c r="C14">
        <v>110</v>
      </c>
      <c r="D14">
        <v>27</v>
      </c>
    </row>
    <row r="15" spans="1:4" x14ac:dyDescent="0.35">
      <c r="A15" s="1">
        <v>14</v>
      </c>
      <c r="B15">
        <v>4955.8112523783966</v>
      </c>
      <c r="C15">
        <v>90</v>
      </c>
      <c r="D15">
        <v>30</v>
      </c>
    </row>
    <row r="16" spans="1:4" x14ac:dyDescent="0.35">
      <c r="A16" s="1">
        <v>15</v>
      </c>
      <c r="B16">
        <v>5107.4270107820657</v>
      </c>
      <c r="C16">
        <v>48</v>
      </c>
      <c r="D16">
        <v>36</v>
      </c>
    </row>
    <row r="17" spans="1:4" x14ac:dyDescent="0.35">
      <c r="A17" s="1">
        <v>16</v>
      </c>
      <c r="B17">
        <v>5062.5891437771388</v>
      </c>
      <c r="C17">
        <v>28</v>
      </c>
      <c r="D17">
        <v>42</v>
      </c>
    </row>
    <row r="18" spans="1:4" x14ac:dyDescent="0.35">
      <c r="A18" s="1">
        <v>17</v>
      </c>
      <c r="B18">
        <v>5000.4488012879938</v>
      </c>
      <c r="C18">
        <v>12</v>
      </c>
      <c r="D18">
        <v>48</v>
      </c>
    </row>
    <row r="19" spans="1:4" x14ac:dyDescent="0.35">
      <c r="A19" s="1">
        <v>18</v>
      </c>
      <c r="B19">
        <v>4900.5568444162564</v>
      </c>
      <c r="C19">
        <v>4</v>
      </c>
      <c r="D19">
        <v>54</v>
      </c>
    </row>
    <row r="20" spans="1:4" x14ac:dyDescent="0.35">
      <c r="A20" s="1">
        <v>19</v>
      </c>
      <c r="B20">
        <v>4952.2722993608822</v>
      </c>
      <c r="C20">
        <v>0</v>
      </c>
      <c r="D20">
        <v>95</v>
      </c>
    </row>
    <row r="21" spans="1:4" x14ac:dyDescent="0.35">
      <c r="A21" s="1">
        <v>20</v>
      </c>
      <c r="B21">
        <v>5132.4000000000005</v>
      </c>
      <c r="C21">
        <v>0</v>
      </c>
      <c r="D21">
        <v>80</v>
      </c>
    </row>
    <row r="22" spans="1:4" x14ac:dyDescent="0.35">
      <c r="A22" s="1">
        <v>21</v>
      </c>
      <c r="B22">
        <v>5080.6845450553747</v>
      </c>
      <c r="C22">
        <v>0</v>
      </c>
      <c r="D22">
        <v>90</v>
      </c>
    </row>
    <row r="23" spans="1:4" x14ac:dyDescent="0.35">
      <c r="A23" s="1">
        <v>22</v>
      </c>
      <c r="B23">
        <v>4974.2989432599898</v>
      </c>
      <c r="C23">
        <v>0</v>
      </c>
      <c r="D23">
        <v>48</v>
      </c>
    </row>
    <row r="24" spans="1:4" x14ac:dyDescent="0.35">
      <c r="A24" s="1">
        <v>23</v>
      </c>
      <c r="B24">
        <v>4703.5189578962782</v>
      </c>
      <c r="C24">
        <v>0</v>
      </c>
      <c r="D24">
        <v>45</v>
      </c>
    </row>
    <row r="25" spans="1:4" x14ac:dyDescent="0.35">
      <c r="A25" s="1">
        <v>24</v>
      </c>
      <c r="B25">
        <v>4496.2565019271115</v>
      </c>
      <c r="C25">
        <v>0</v>
      </c>
      <c r="D25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BF77-0833-489C-B809-7FAF52428756}">
  <dimension ref="A1:K3"/>
  <sheetViews>
    <sheetView topLeftCell="E1" workbookViewId="0">
      <selection activeCell="G7" sqref="G7"/>
    </sheetView>
  </sheetViews>
  <sheetFormatPr defaultRowHeight="14.5" x14ac:dyDescent="0.35"/>
  <cols>
    <col min="1" max="9" width="12.6328125" customWidth="1"/>
  </cols>
  <sheetData>
    <row r="1" spans="1:11" x14ac:dyDescent="0.35">
      <c r="A1" t="s">
        <v>50</v>
      </c>
      <c r="B1" t="s">
        <v>53</v>
      </c>
      <c r="C1" t="s">
        <v>54</v>
      </c>
      <c r="D1" t="s">
        <v>56</v>
      </c>
      <c r="E1" t="s">
        <v>55</v>
      </c>
      <c r="F1" t="s">
        <v>57</v>
      </c>
      <c r="G1" t="s">
        <v>58</v>
      </c>
      <c r="H1" t="s">
        <v>59</v>
      </c>
      <c r="I1" t="s">
        <v>60</v>
      </c>
      <c r="J1" t="s">
        <v>67</v>
      </c>
      <c r="K1" t="s">
        <v>68</v>
      </c>
    </row>
    <row r="2" spans="1:11" x14ac:dyDescent="0.35">
      <c r="A2" t="s">
        <v>51</v>
      </c>
      <c r="B2">
        <v>155</v>
      </c>
      <c r="C2">
        <v>10</v>
      </c>
      <c r="D2">
        <v>60</v>
      </c>
      <c r="E2">
        <v>60</v>
      </c>
      <c r="F2">
        <v>1</v>
      </c>
      <c r="G2">
        <v>1</v>
      </c>
      <c r="H2">
        <v>15.5</v>
      </c>
      <c r="I2">
        <v>15.5</v>
      </c>
      <c r="J2">
        <v>5</v>
      </c>
      <c r="K2">
        <v>1</v>
      </c>
    </row>
    <row r="3" spans="1:11" x14ac:dyDescent="0.35">
      <c r="A3" t="s">
        <v>52</v>
      </c>
      <c r="B3">
        <v>50</v>
      </c>
      <c r="C3">
        <v>10</v>
      </c>
      <c r="D3">
        <v>20</v>
      </c>
      <c r="E3">
        <v>20</v>
      </c>
      <c r="F3">
        <v>1</v>
      </c>
      <c r="G3">
        <v>1</v>
      </c>
      <c r="H3">
        <v>25</v>
      </c>
      <c r="I3">
        <v>25</v>
      </c>
      <c r="J3">
        <v>5</v>
      </c>
      <c r="K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6B78-B778-452F-BE12-E387872EFF2D}">
  <dimension ref="A1:E2"/>
  <sheetViews>
    <sheetView tabSelected="1" workbookViewId="0">
      <selection activeCell="E13" sqref="E13"/>
    </sheetView>
  </sheetViews>
  <sheetFormatPr defaultRowHeight="14.5" x14ac:dyDescent="0.35"/>
  <sheetData>
    <row r="1" spans="1:5" x14ac:dyDescent="0.35">
      <c r="A1" t="s">
        <v>61</v>
      </c>
      <c r="B1" t="s">
        <v>63</v>
      </c>
      <c r="C1" t="s">
        <v>64</v>
      </c>
      <c r="D1" t="s">
        <v>66</v>
      </c>
      <c r="E1" t="s">
        <v>69</v>
      </c>
    </row>
    <row r="2" spans="1:5" x14ac:dyDescent="0.35">
      <c r="A2" t="s">
        <v>62</v>
      </c>
      <c r="B2">
        <v>100</v>
      </c>
      <c r="C2">
        <v>4</v>
      </c>
      <c r="D2">
        <v>4</v>
      </c>
      <c r="E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E95D-42A2-4A41-A2D2-6892A2C7C39B}">
  <dimension ref="A1:B25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20</v>
      </c>
      <c r="B1" t="s">
        <v>65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0.84627399999999997</v>
      </c>
    </row>
    <row r="4" spans="1:2" x14ac:dyDescent="0.35">
      <c r="A4">
        <v>3</v>
      </c>
      <c r="B4">
        <v>0.86858500000000005</v>
      </c>
    </row>
    <row r="5" spans="1:2" x14ac:dyDescent="0.35">
      <c r="A5">
        <v>4</v>
      </c>
      <c r="B5">
        <v>0.833928</v>
      </c>
    </row>
    <row r="6" spans="1:2" x14ac:dyDescent="0.35">
      <c r="A6">
        <v>5</v>
      </c>
      <c r="B6">
        <v>0.92938600000000005</v>
      </c>
    </row>
    <row r="7" spans="1:2" x14ac:dyDescent="0.35">
      <c r="A7">
        <v>6</v>
      </c>
      <c r="B7">
        <v>0.680948</v>
      </c>
    </row>
    <row r="8" spans="1:2" x14ac:dyDescent="0.35">
      <c r="A8">
        <v>7</v>
      </c>
      <c r="B8">
        <v>0.77293400000000001</v>
      </c>
    </row>
    <row r="9" spans="1:2" x14ac:dyDescent="0.35">
      <c r="A9">
        <v>8</v>
      </c>
      <c r="B9">
        <v>0.59332399999999996</v>
      </c>
    </row>
    <row r="10" spans="1:2" x14ac:dyDescent="0.35">
      <c r="A10">
        <v>9</v>
      </c>
      <c r="B10">
        <v>0.77148700000000003</v>
      </c>
    </row>
    <row r="11" spans="1:2" x14ac:dyDescent="0.35">
      <c r="A11">
        <v>10</v>
      </c>
      <c r="B11">
        <v>0.97746599999999995</v>
      </c>
    </row>
    <row r="12" spans="1:2" x14ac:dyDescent="0.35">
      <c r="A12">
        <v>11</v>
      </c>
      <c r="B12">
        <v>0.72166699999999995</v>
      </c>
    </row>
    <row r="13" spans="1:2" x14ac:dyDescent="0.35">
      <c r="A13">
        <v>12</v>
      </c>
      <c r="B13">
        <v>0.45140400000000003</v>
      </c>
    </row>
    <row r="14" spans="1:2" x14ac:dyDescent="0.35">
      <c r="A14">
        <v>13</v>
      </c>
      <c r="B14">
        <v>0.29636099999999999</v>
      </c>
    </row>
    <row r="15" spans="1:2" x14ac:dyDescent="0.35">
      <c r="A15">
        <v>14</v>
      </c>
      <c r="B15">
        <v>0.33506599999999997</v>
      </c>
    </row>
    <row r="16" spans="1:2" x14ac:dyDescent="0.35">
      <c r="A16">
        <v>15</v>
      </c>
      <c r="B16">
        <v>0.31772299999999998</v>
      </c>
    </row>
    <row r="17" spans="1:2" x14ac:dyDescent="0.35">
      <c r="A17">
        <v>16</v>
      </c>
      <c r="B17">
        <v>0.25328899999999999</v>
      </c>
    </row>
    <row r="18" spans="1:2" x14ac:dyDescent="0.35">
      <c r="A18">
        <v>17</v>
      </c>
      <c r="B18">
        <v>0.46349299999999999</v>
      </c>
    </row>
    <row r="19" spans="1:2" x14ac:dyDescent="0.35">
      <c r="A19">
        <v>18</v>
      </c>
      <c r="B19">
        <v>0.54308400000000001</v>
      </c>
    </row>
    <row r="20" spans="1:2" x14ac:dyDescent="0.35">
      <c r="A20">
        <v>19</v>
      </c>
      <c r="B20">
        <v>0.58426</v>
      </c>
    </row>
    <row r="21" spans="1:2" x14ac:dyDescent="0.35">
      <c r="A21">
        <v>20</v>
      </c>
      <c r="B21">
        <v>0.66595800000000005</v>
      </c>
    </row>
    <row r="22" spans="1:2" x14ac:dyDescent="0.35">
      <c r="A22">
        <v>21</v>
      </c>
      <c r="B22">
        <v>0.63874500000000001</v>
      </c>
    </row>
    <row r="23" spans="1:2" x14ac:dyDescent="0.35">
      <c r="A23">
        <v>22</v>
      </c>
      <c r="B23">
        <v>0.493421</v>
      </c>
    </row>
    <row r="24" spans="1:2" x14ac:dyDescent="0.35">
      <c r="A24">
        <v>23</v>
      </c>
      <c r="B24">
        <v>0.54866199999999998</v>
      </c>
    </row>
    <row r="25" spans="1:2" x14ac:dyDescent="0.35">
      <c r="A25">
        <v>24</v>
      </c>
      <c r="B25">
        <v>0.35076800000000002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</vt:lpstr>
      <vt:lpstr>Demand</vt:lpstr>
      <vt:lpstr>Battery</vt:lpstr>
      <vt:lpstr>WT</vt:lpstr>
      <vt:lpstr>Potential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2026-06-14T15:02:03Z</dcterms:modified>
</cp:coreProperties>
</file>