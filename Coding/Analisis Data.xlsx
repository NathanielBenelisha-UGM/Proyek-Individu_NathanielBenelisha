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92A004F2-DB3D-4F4A-90D5-3355381F37C0}" xr6:coauthVersionLast="47" xr6:coauthVersionMax="47" xr10:uidLastSave="{00000000-0000-0000-0000-000000000000}"/>
  <bookViews>
    <workbookView xWindow="-90" yWindow="0" windowWidth="9780" windowHeight="11370" firstSheet="1" activeTab="1" xr2:uid="{268ED4C8-897D-428B-A1DB-075C09F12D3A}"/>
  </bookViews>
  <sheets>
    <sheet name="Compare" sheetId="1" r:id="rId1"/>
    <sheet name="Sheet1" sheetId="3" r:id="rId2"/>
    <sheet name="Dispatch" sheetId="8" r:id="rId3"/>
    <sheet name="Battery" sheetId="9" r:id="rId4"/>
    <sheet name="Sheet5" sheetId="7" r:id="rId5"/>
    <sheet name="Sheet2" sheetId="4" r:id="rId6"/>
    <sheet name="Gen" sheetId="5" r:id="rId7"/>
    <sheet name="Demand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5" i="9" l="1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5" i="9"/>
  <c r="B14" i="9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" i="6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37" i="3"/>
  <c r="BQ136" i="3"/>
  <c r="BQ135" i="3"/>
  <c r="BQ134" i="3"/>
  <c r="BQ133" i="3"/>
  <c r="BQ132" i="3"/>
  <c r="BQ131" i="3"/>
  <c r="BQ130" i="3"/>
  <c r="BQ129" i="3"/>
  <c r="BQ128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EO121" i="3"/>
  <c r="EN121" i="3"/>
  <c r="EM121" i="3"/>
  <c r="EL121" i="3"/>
  <c r="EK121" i="3"/>
  <c r="EJ121" i="3"/>
  <c r="EI121" i="3"/>
  <c r="EH121" i="3"/>
  <c r="EG121" i="3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EO115" i="3"/>
  <c r="EN115" i="3"/>
  <c r="EM115" i="3"/>
  <c r="EL115" i="3"/>
  <c r="EK115" i="3"/>
  <c r="EJ115" i="3"/>
  <c r="EI115" i="3"/>
  <c r="EH115" i="3"/>
  <c r="EG115" i="3"/>
  <c r="EF115" i="3"/>
  <c r="EE115" i="3"/>
  <c r="ED115" i="3"/>
  <c r="EC115" i="3"/>
  <c r="EB115" i="3"/>
  <c r="EA115" i="3"/>
  <c r="DZ115" i="3"/>
  <c r="DY115" i="3"/>
  <c r="DX115" i="3"/>
  <c r="DW115" i="3"/>
  <c r="DV115" i="3"/>
  <c r="DU115" i="3"/>
  <c r="DT115" i="3"/>
  <c r="DS115" i="3"/>
  <c r="DR116" i="3"/>
  <c r="DR115" i="3"/>
  <c r="DR117" i="3"/>
  <c r="C119" i="3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CA22" i="7"/>
  <c r="BZ22" i="7"/>
  <c r="BY22" i="7"/>
  <c r="BX22" i="7"/>
  <c r="BW22" i="7"/>
  <c r="BV22" i="7"/>
  <c r="BU22" i="7"/>
  <c r="BT22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3" i="7"/>
  <c r="BD22" i="7"/>
  <c r="CA6" i="7"/>
  <c r="BZ6" i="7"/>
  <c r="BY6" i="7"/>
  <c r="BX6" i="7"/>
  <c r="BW6" i="7"/>
  <c r="BV6" i="7"/>
  <c r="BU6" i="7"/>
  <c r="BT6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31" i="7"/>
  <c r="AD30" i="7"/>
  <c r="AD29" i="7"/>
  <c r="AD28" i="7"/>
  <c r="AD27" i="7"/>
  <c r="AD26" i="7"/>
  <c r="AD25" i="7"/>
  <c r="AD24" i="7"/>
  <c r="AD23" i="7"/>
  <c r="AD22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14" i="7"/>
  <c r="AD13" i="7"/>
  <c r="AD12" i="7"/>
  <c r="AD11" i="7"/>
  <c r="AD10" i="7"/>
  <c r="AD9" i="7"/>
  <c r="AD8" i="7"/>
  <c r="AD7" i="7"/>
  <c r="AD6" i="7"/>
  <c r="AD5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31" i="7"/>
  <c r="C30" i="7"/>
  <c r="C29" i="7"/>
  <c r="C28" i="7"/>
  <c r="C27" i="7"/>
  <c r="C26" i="7"/>
  <c r="C25" i="7"/>
  <c r="C24" i="7"/>
  <c r="C23" i="7"/>
  <c r="C22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14" i="7"/>
  <c r="C13" i="7"/>
  <c r="C12" i="7"/>
  <c r="C11" i="7"/>
  <c r="C10" i="7"/>
  <c r="C9" i="7"/>
  <c r="C8" i="7"/>
  <c r="C7" i="7"/>
  <c r="C6" i="7"/>
  <c r="C5" i="7"/>
  <c r="D38" i="5"/>
  <c r="D37" i="5"/>
  <c r="D36" i="5"/>
  <c r="D35" i="5"/>
  <c r="D34" i="5"/>
  <c r="D33" i="5"/>
  <c r="D32" i="5"/>
  <c r="D31" i="5"/>
  <c r="D30" i="5"/>
  <c r="D29" i="5"/>
  <c r="C101" i="3"/>
  <c r="C83" i="3"/>
  <c r="C65" i="3"/>
  <c r="C47" i="3"/>
  <c r="C29" i="3"/>
  <c r="C11" i="3"/>
  <c r="CA26" i="7" l="1"/>
  <c r="BZ26" i="7"/>
  <c r="BY26" i="7"/>
  <c r="BX26" i="7"/>
  <c r="BW26" i="7"/>
  <c r="BV26" i="7"/>
  <c r="BU26" i="7"/>
  <c r="BT26" i="7"/>
  <c r="BS26" i="7"/>
  <c r="BR26" i="7"/>
  <c r="BQ26" i="7"/>
  <c r="BP26" i="7"/>
  <c r="BO26" i="7"/>
  <c r="BN26" i="7"/>
  <c r="BM26" i="7"/>
  <c r="BL26" i="7"/>
  <c r="BK26" i="7"/>
  <c r="BJ26" i="7"/>
  <c r="BI26" i="7"/>
  <c r="BH26" i="7"/>
  <c r="BG26" i="7"/>
  <c r="BF26" i="7"/>
  <c r="BE26" i="7"/>
  <c r="BD26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</calcChain>
</file>

<file path=xl/sharedStrings.xml><?xml version="1.0" encoding="utf-8"?>
<sst xmlns="http://schemas.openxmlformats.org/spreadsheetml/2006/main" count="1093" uniqueCount="181">
  <si>
    <t>Constraint</t>
  </si>
  <si>
    <t>Fuel Cost</t>
  </si>
  <si>
    <t>Startup Up Cost</t>
  </si>
  <si>
    <t>Shutdown Cost</t>
  </si>
  <si>
    <t>Total Cost</t>
  </si>
  <si>
    <t>Quadratic</t>
  </si>
  <si>
    <t>Linear</t>
  </si>
  <si>
    <t>No Load</t>
  </si>
  <si>
    <t>Piecewise</t>
  </si>
  <si>
    <t>consUC
consMUTMDT
consBasicRamp</t>
  </si>
  <si>
    <t>consUC
consMUTMDT
consBasicRamp
consInit</t>
  </si>
  <si>
    <t>consUC
consMUTMDT
consBasicRamp
consSRPower
consReserveJawaBali</t>
  </si>
  <si>
    <t>consUC
consMUTMDT
consBasicRamp
consReserveJawaBali</t>
  </si>
  <si>
    <t>consUC
consMUTMDT
consBasicRamp
consReserveJawaBali
consSteadyPrimFreq</t>
  </si>
  <si>
    <t>consUC
consMUTMDT
consBasicRamp
consReserveJawaBali
consWorstCaseInertia</t>
  </si>
  <si>
    <t>#</t>
  </si>
  <si>
    <t>myProject</t>
  </si>
  <si>
    <t>myUC</t>
  </si>
  <si>
    <t>use_initial_condition
con_power_balance
con_capacity_upper
con_capacity_lower
con_startup_shutdown_logic</t>
  </si>
  <si>
    <t>use_initial_condition
con_power_balance
con_capacity_upper
con_capacity_lower
con_startup_shutdown_logic
con_minimum_up_time
con_minimum_down_time</t>
  </si>
  <si>
    <t>use_initial_condition
con_power_balance
con_capacity_upper
con_capacity_lower
con_startup_shutdown_logic
con_minimum_up_time
con_minimum_down_time
con_ramp_up
con_ramp_down</t>
  </si>
  <si>
    <t>consUC
consMUTMDT
consBasicRamp
consSRContingency</t>
  </si>
  <si>
    <t>Hour</t>
  </si>
  <si>
    <t>consUC
consMUTMDT
consBasicRamp
consSRContingency
consInit</t>
  </si>
  <si>
    <t>use_initial_condition
con_power_balance
con_capacity_upper
con_capacity_lower
con_startup_shutdown_logic
con_minimum_up_time
con_minimum_down_time
con_ramp_up
con_ramp_down
con_n1_spinning_reserve</t>
  </si>
  <si>
    <t>consUC
consMUTMDT
consBasicRamp
consSRContingency
consWorstCaseInertia
consInit</t>
  </si>
  <si>
    <t>use_initial_condition
con_power_balance
con_capacity_upper
con_capacity_lower
con_startup_shutdown_logic
con_minimum_up_time
con_minimum_down_time
con_ramp_up
con_ramp_down
con_n1_spinning_reserve
con_dynamic_frequency_security</t>
  </si>
  <si>
    <t>consUC
consMUTMDT
consBasicRamp
consSRContingency
consSteadyPrimFreq
consInit</t>
  </si>
  <si>
    <t>use_initial_condition
con_power_balance
con_capacity_upper
con_capacity_lower
con_startup_shutdown_logic
con_minimum_up_time
con_minimum_down_time
con_ramp_up
con_ramp_down
con_n1_spinning_reserve
con_steady_primary_frequency</t>
  </si>
  <si>
    <t>consInit
consUC</t>
  </si>
  <si>
    <t>consInit
consUC
consMUTMDT</t>
  </si>
  <si>
    <t>#1</t>
  </si>
  <si>
    <t>consInit + consUC</t>
  </si>
  <si>
    <t>UC Status</t>
  </si>
  <si>
    <t>G 01</t>
  </si>
  <si>
    <t>G 02</t>
  </si>
  <si>
    <t>G 03</t>
  </si>
  <si>
    <t>G 04</t>
  </si>
  <si>
    <t>G 05</t>
  </si>
  <si>
    <t>G 06</t>
  </si>
  <si>
    <t>G 07</t>
  </si>
  <si>
    <t>G 08</t>
  </si>
  <si>
    <t>G 09</t>
  </si>
  <si>
    <t>G 10</t>
  </si>
  <si>
    <t>Gen</t>
  </si>
  <si>
    <t>Dispatch</t>
  </si>
  <si>
    <t>Spinning Reserve</t>
  </si>
  <si>
    <t>Primary Reserve</t>
  </si>
  <si>
    <t>System Inertia</t>
  </si>
  <si>
    <t>Hsys</t>
  </si>
  <si>
    <t>Startup Cost</t>
  </si>
  <si>
    <t>Objective</t>
  </si>
  <si>
    <t>#2</t>
  </si>
  <si>
    <t>consInit + consUC + consMUTMDT</t>
  </si>
  <si>
    <t>#3</t>
  </si>
  <si>
    <t>#4</t>
  </si>
  <si>
    <t>#5</t>
  </si>
  <si>
    <t>consInit + consUC + consMUTMDT + consBasicRamp</t>
  </si>
  <si>
    <t>consInit + consUC + consMUTMDT + consBasicRamp + consSRContingency</t>
  </si>
  <si>
    <t>consInit + consUC + consMUTMDT + consBasicRamp + consSRContingency + consWorstCaseInertia</t>
  </si>
  <si>
    <t>PLTU 1</t>
  </si>
  <si>
    <t>PLTU 3</t>
  </si>
  <si>
    <t>PLTGU 1</t>
  </si>
  <si>
    <t>PLTU 2</t>
  </si>
  <si>
    <t>PLTG 1</t>
  </si>
  <si>
    <t>PLTG 2</t>
  </si>
  <si>
    <t>PLTGU 2</t>
  </si>
  <si>
    <t>PLTGU 3</t>
  </si>
  <si>
    <t>PLTGU 4</t>
  </si>
  <si>
    <t>PLTU 4</t>
  </si>
  <si>
    <t>#6</t>
  </si>
  <si>
    <t>consInit + consUC + consMUTMDT + consBasicRamp + consSRContingency + consSteadyPrimFreq</t>
  </si>
  <si>
    <t>Unit</t>
  </si>
  <si>
    <t>Type</t>
  </si>
  <si>
    <t>Pmin</t>
  </si>
  <si>
    <t>Pmax</t>
  </si>
  <si>
    <t>a</t>
  </si>
  <si>
    <t>PFR_Fraction</t>
  </si>
  <si>
    <t>FreeGovernor</t>
  </si>
  <si>
    <t>Tg</t>
  </si>
  <si>
    <t>InitialStatus</t>
  </si>
  <si>
    <t>GovRamp(MW/s)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</si>
  <si>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</si>
  <si>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</si>
  <si>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</si>
  <si>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</si>
  <si>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</si>
  <si>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</si>
  <si>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</si>
  <si>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</si>
  <si>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</si>
  <si>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</si>
  <si>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Potensi PV (MW)</t>
  </si>
  <si>
    <t>Potensi WT (MW)</t>
  </si>
  <si>
    <t>b ($/MW)</t>
  </si>
  <si>
    <t>c ($/h)</t>
  </si>
  <si>
    <t>SU_Cost ($)</t>
  </si>
  <si>
    <t>SD_Cost ($)</t>
  </si>
  <si>
    <t>Ramp_Up (MW)</t>
  </si>
  <si>
    <t>Ramp_Down (MW)</t>
  </si>
  <si>
    <t>Min_Down (h)</t>
  </si>
  <si>
    <t>Min_Up
(h)</t>
  </si>
  <si>
    <t>Droop (%)</t>
  </si>
  <si>
    <t>H (s)</t>
  </si>
  <si>
    <t>InitialPower (MW)</t>
  </si>
  <si>
    <t>PrevUpTime (h)</t>
  </si>
  <si>
    <t>PrevDownTime (h)</t>
  </si>
  <si>
    <t>PrimResCost ($/MW)</t>
  </si>
  <si>
    <t>FreqDeadBand (Hz)</t>
  </si>
  <si>
    <t>PrimRampUp (MW)</t>
  </si>
  <si>
    <t>Basic UC</t>
  </si>
  <si>
    <t>Initial Condition</t>
  </si>
  <si>
    <t>Frequency Parameter</t>
  </si>
  <si>
    <t>Demand (MW)</t>
  </si>
  <si>
    <t>Spinning - Reserve</t>
  </si>
  <si>
    <t>#5 | consInit + consUC + consMUTMDT + consBasicRamp + consSRContingency + consWorstCaseInertia</t>
  </si>
  <si>
    <t>#6 | consInit + consUC + consMUTMDT + consBasicRamp + consSRContingency + consSteadyPrimFreq</t>
  </si>
  <si>
    <t>Ploss</t>
  </si>
  <si>
    <t>Status Contingency (0, jika lepas)</t>
  </si>
  <si>
    <t>Spinning Total</t>
  </si>
  <si>
    <t>Spinning Back Up</t>
  </si>
  <si>
    <t>Primary Total</t>
  </si>
  <si>
    <t>Primary Back Up</t>
  </si>
  <si>
    <t>Reserve</t>
  </si>
  <si>
    <t>consUC
consMUTMDT
consBasicRamp
consSRContingency
consBattery
consInit</t>
  </si>
  <si>
    <t>consInit + consUC + consMUTMDT + consBasicRamp + consSRContingency + consBattery</t>
  </si>
  <si>
    <t>#7</t>
  </si>
  <si>
    <t>Candra</t>
  </si>
  <si>
    <t>use_initial_condition
con_power_balance
con_capacity_upper
con_capacity_lower
con_startup_shutdown_logic
con_minimum_up_time
con_minimum_down_time
con_ramp_up
con_ramp_down
con_n1_spinning_reserve
con_battery</t>
  </si>
  <si>
    <t>Demand</t>
  </si>
  <si>
    <t>Dispatch (Candra)</t>
  </si>
  <si>
    <t>Dispatch (Aris)</t>
  </si>
  <si>
    <t>Battery</t>
  </si>
  <si>
    <t>Batt</t>
  </si>
  <si>
    <t>B1</t>
  </si>
  <si>
    <t>B2</t>
  </si>
  <si>
    <t>SOC Max</t>
  </si>
  <si>
    <t>SOC Min</t>
  </si>
  <si>
    <t>CR Max</t>
  </si>
  <si>
    <t>DR Max</t>
  </si>
  <si>
    <t>Charge Eff</t>
  </si>
  <si>
    <t>Discharge Eff</t>
  </si>
  <si>
    <t>Initial SOC</t>
  </si>
  <si>
    <t>Final SOC</t>
  </si>
  <si>
    <t>Aris</t>
  </si>
  <si>
    <t>Charge/Discharge Battery</t>
  </si>
  <si>
    <t>Hasil</t>
  </si>
  <si>
    <t>SOC</t>
  </si>
  <si>
    <t>Spinning Reserve (Candra)</t>
  </si>
  <si>
    <t>Spinning Reserve (Aris)</t>
  </si>
  <si>
    <t>WT pu</t>
  </si>
  <si>
    <t>WP Potential</t>
  </si>
  <si>
    <t>use_initial_condition
con_power_balance
con_capacity_upper
con_capacity_lower
con_startup_shutdown_logic
con_minimum_up_time
con_minimum_down_time
con_ramp_up
con_ramp_down
con_n1_spinning_reserve
con_battery
con_WT
con_curtailment</t>
  </si>
  <si>
    <t>use_initial_condition
con_power_balance
con_capacity_upper
con_capacity_lower
con_startup_shutdown_logic
con_minimum_up_time
con_minimum_down_time
con_ramp_up
con_ramp_down
con_n1_spinning_reserve
con_WT
con_curtailment</t>
  </si>
  <si>
    <t>G1_P</t>
  </si>
  <si>
    <t>G2_P</t>
  </si>
  <si>
    <t>G3_P</t>
  </si>
  <si>
    <t>G4_P</t>
  </si>
  <si>
    <t>G5_P</t>
  </si>
  <si>
    <t>G6_P</t>
  </si>
  <si>
    <t>G7_P</t>
  </si>
  <si>
    <t>G8_P</t>
  </si>
  <si>
    <t>G9_P</t>
  </si>
  <si>
    <t>G10_P</t>
  </si>
  <si>
    <t>WT_Available</t>
  </si>
  <si>
    <t>WT_Curtailment</t>
  </si>
  <si>
    <t>WT_Used</t>
  </si>
  <si>
    <t>Total_Power</t>
  </si>
  <si>
    <t>WT 1</t>
  </si>
  <si>
    <t>W1</t>
  </si>
  <si>
    <t>Power</t>
  </si>
  <si>
    <t>B1_P_charge</t>
  </si>
  <si>
    <t>B1_P_discharge</t>
  </si>
  <si>
    <t>B1_SOC</t>
  </si>
  <si>
    <t>B1_ChargeStatus</t>
  </si>
  <si>
    <t>B1_DischargeStatus</t>
  </si>
  <si>
    <t>B2_P_charge</t>
  </si>
  <si>
    <t>B2_P_discharge</t>
  </si>
  <si>
    <t>B2_SOC</t>
  </si>
  <si>
    <t>B2_ChargeStatus</t>
  </si>
  <si>
    <t>B2_DischargeStatus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</si>
</sst>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3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2" fontId="0" fillId="0" borderId="0" xfId="0" applyNumberFormat="1"/>
    <xf numFmtId="2" fontId="2" fillId="3" borderId="1" xfId="0" applyNumberFormat="1" applyFont="1" applyFill="1" applyBorder="1" applyAlignment="1">
      <alignment horizontal="right" vertical="top" wrapText="1" readingOrder="1"/>
    </xf>
    <xf numFmtId="2" fontId="2" fillId="0" borderId="1" xfId="0" applyNumberFormat="1" applyFont="1" applyBorder="1" applyAlignment="1">
      <alignment horizontal="right" vertical="top" wrapText="1" readingOrder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6" fillId="0" borderId="0" xfId="0" applyFont="1"/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2" fontId="6" fillId="4" borderId="1" xfId="0" applyNumberFormat="1" applyFont="1" applyFill="1" applyBorder="1"/>
    <xf numFmtId="2" fontId="6" fillId="0" borderId="0" xfId="0" applyNumberFormat="1" applyFont="1"/>
    <xf numFmtId="0" fontId="5" fillId="0" borderId="0" xfId="0" applyFont="1"/>
    <xf numFmtId="2" fontId="6" fillId="0" borderId="1" xfId="0" applyNumberFormat="1" applyFont="1" applyBorder="1" applyAlignment="1">
      <alignment horizontal="center"/>
    </xf>
    <xf numFmtId="0" fontId="3" fillId="0" borderId="0" xfId="0" applyFont="1"/>
    <xf numFmtId="0" fontId="3" fillId="3" borderId="1" xfId="0" applyFont="1" applyFill="1" applyBorder="1" applyAlignment="1">
      <alignment vertical="top"/>
    </xf>
    <xf numFmtId="2" fontId="3" fillId="5" borderId="1" xfId="0" applyNumberFormat="1" applyFont="1" applyFill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 wrapText="1"/>
    </xf>
    <xf numFmtId="0" fontId="2" fillId="2" borderId="1" xfId="0" applyFont="1" applyFill="1" applyBorder="1" applyAlignment="1">
      <alignment horizontal="left" vertical="top" wrapText="1" readingOrder="1"/>
    </xf>
    <xf numFmtId="2" fontId="2" fillId="2" borderId="1" xfId="0" applyNumberFormat="1" applyFont="1" applyFill="1" applyBorder="1" applyAlignment="1">
      <alignment horizontal="right" vertical="top" wrapText="1" readingOrder="1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0" xfId="0" applyFont="1"/>
    <xf numFmtId="0" fontId="2" fillId="0" borderId="4" xfId="0" applyFont="1" applyBorder="1" applyAlignment="1">
      <alignment horizontal="left" vertical="top" wrapText="1" readingOrder="1"/>
    </xf>
    <xf numFmtId="2" fontId="2" fillId="0" borderId="4" xfId="0" applyNumberFormat="1" applyFont="1" applyBorder="1" applyAlignment="1">
      <alignment horizontal="right" vertical="top" wrapText="1" readingOrder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3" fillId="3" borderId="1" xfId="0" applyFont="1" applyFill="1" applyBorder="1" applyAlignment="1">
      <alignment horizontal="center"/>
    </xf>
    <xf numFmtId="2" fontId="0" fillId="0" borderId="1" xfId="0" applyNumberFormat="1" applyBorder="1"/>
    <xf numFmtId="3" fontId="0" fillId="0" borderId="0" xfId="0" applyNumberFormat="1"/>
    <xf numFmtId="0" fontId="1" fillId="2" borderId="1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5" borderId="9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7" fillId="0" borderId="1" xfId="0" applyFont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34"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State of Charge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Sheet1!$DQ$121</c:f>
              <c:strCache>
                <c:ptCount val="1"/>
                <c:pt idx="0">
                  <c:v>Candra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Sheet1!$DR$121:$EO$121</c:f>
              <c:numCache>
                <c:formatCode>0.00</c:formatCode>
                <c:ptCount val="24"/>
                <c:pt idx="0">
                  <c:v>20</c:v>
                </c:pt>
                <c:pt idx="1">
                  <c:v>40.5</c:v>
                </c:pt>
                <c:pt idx="2">
                  <c:v>65.298214372834991</c:v>
                </c:pt>
                <c:pt idx="3">
                  <c:v>120.5</c:v>
                </c:pt>
                <c:pt idx="4">
                  <c:v>120.5</c:v>
                </c:pt>
                <c:pt idx="5">
                  <c:v>40.5</c:v>
                </c:pt>
                <c:pt idx="6">
                  <c:v>-39.298214372834991</c:v>
                </c:pt>
                <c:pt idx="7">
                  <c:v>120.5</c:v>
                </c:pt>
                <c:pt idx="8">
                  <c:v>40.5</c:v>
                </c:pt>
                <c:pt idx="9">
                  <c:v>40.5</c:v>
                </c:pt>
                <c:pt idx="10">
                  <c:v>-11.384246475093278</c:v>
                </c:pt>
                <c:pt idx="11">
                  <c:v>-7.6157535249067223</c:v>
                </c:pt>
                <c:pt idx="12">
                  <c:v>60.5</c:v>
                </c:pt>
                <c:pt idx="13">
                  <c:v>100.5</c:v>
                </c:pt>
                <c:pt idx="14">
                  <c:v>-39.5</c:v>
                </c:pt>
                <c:pt idx="15">
                  <c:v>6.9108562228611845</c:v>
                </c:pt>
                <c:pt idx="16">
                  <c:v>24.051198712006226</c:v>
                </c:pt>
                <c:pt idx="17">
                  <c:v>110.53794506513259</c:v>
                </c:pt>
                <c:pt idx="18">
                  <c:v>120.5</c:v>
                </c:pt>
                <c:pt idx="19">
                  <c:v>40.5</c:v>
                </c:pt>
                <c:pt idx="20">
                  <c:v>-39.5</c:v>
                </c:pt>
                <c:pt idx="21">
                  <c:v>-39.5</c:v>
                </c:pt>
                <c:pt idx="22">
                  <c:v>15.5</c:v>
                </c:pt>
                <c:pt idx="2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3C-404F-90E8-B8F92A4AA663}"/>
            </c:ext>
          </c:extLst>
        </c:ser>
        <c:ser>
          <c:idx val="3"/>
          <c:order val="1"/>
          <c:tx>
            <c:strRef>
              <c:f>Sheet1!$DQ$122</c:f>
              <c:strCache>
                <c:ptCount val="1"/>
                <c:pt idx="0">
                  <c:v>Aris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Sheet1!$DR$122:$EO$122</c:f>
              <c:numCache>
                <c:formatCode>0.00</c:formatCode>
                <c:ptCount val="2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40</c:v>
                </c:pt>
                <c:pt idx="4">
                  <c:v>40</c:v>
                </c:pt>
                <c:pt idx="5">
                  <c:v>65</c:v>
                </c:pt>
                <c:pt idx="6">
                  <c:v>125</c:v>
                </c:pt>
                <c:pt idx="7">
                  <c:v>205</c:v>
                </c:pt>
                <c:pt idx="8">
                  <c:v>205</c:v>
                </c:pt>
                <c:pt idx="9">
                  <c:v>205</c:v>
                </c:pt>
                <c:pt idx="10">
                  <c:v>185</c:v>
                </c:pt>
                <c:pt idx="11">
                  <c:v>125</c:v>
                </c:pt>
                <c:pt idx="12">
                  <c:v>205</c:v>
                </c:pt>
                <c:pt idx="13">
                  <c:v>133.59</c:v>
                </c:pt>
                <c:pt idx="14">
                  <c:v>53.59</c:v>
                </c:pt>
                <c:pt idx="15">
                  <c:v>20</c:v>
                </c:pt>
                <c:pt idx="16">
                  <c:v>20</c:v>
                </c:pt>
                <c:pt idx="17">
                  <c:v>100</c:v>
                </c:pt>
                <c:pt idx="18">
                  <c:v>171.68</c:v>
                </c:pt>
                <c:pt idx="19">
                  <c:v>151.68</c:v>
                </c:pt>
                <c:pt idx="20">
                  <c:v>100</c:v>
                </c:pt>
                <c:pt idx="21">
                  <c:v>20</c:v>
                </c:pt>
                <c:pt idx="22">
                  <c:v>35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3C-404F-90E8-B8F92A4A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612656"/>
        <c:axId val="884613136"/>
      </c:lineChart>
      <c:catAx>
        <c:axId val="88461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13136"/>
        <c:crosses val="autoZero"/>
        <c:auto val="1"/>
        <c:lblAlgn val="ctr"/>
        <c:lblOffset val="100"/>
        <c:noMultiLvlLbl val="0"/>
      </c:catAx>
      <c:valAx>
        <c:axId val="8846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Charge/Discharge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Sheet1!$DQ$115</c:f>
              <c:strCache>
                <c:ptCount val="1"/>
                <c:pt idx="0">
                  <c:v>Candra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Sheet1!$DR$113:$EO$114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Sheet1!$DR$115:$EO$115</c:f>
              <c:numCache>
                <c:formatCode>0.00</c:formatCode>
                <c:ptCount val="24"/>
                <c:pt idx="0">
                  <c:v>-20.5</c:v>
                </c:pt>
                <c:pt idx="1">
                  <c:v>0</c:v>
                </c:pt>
                <c:pt idx="2">
                  <c:v>24.798214372834991</c:v>
                </c:pt>
                <c:pt idx="3">
                  <c:v>80</c:v>
                </c:pt>
                <c:pt idx="4">
                  <c:v>80</c:v>
                </c:pt>
                <c:pt idx="5">
                  <c:v>0</c:v>
                </c:pt>
                <c:pt idx="6">
                  <c:v>-79.798214372834991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-51.884246475093278</c:v>
                </c:pt>
                <c:pt idx="11">
                  <c:v>-48.115753524906722</c:v>
                </c:pt>
                <c:pt idx="12">
                  <c:v>20</c:v>
                </c:pt>
                <c:pt idx="13">
                  <c:v>60</c:v>
                </c:pt>
                <c:pt idx="14">
                  <c:v>-80</c:v>
                </c:pt>
                <c:pt idx="15">
                  <c:v>-33.589143777138815</c:v>
                </c:pt>
                <c:pt idx="16">
                  <c:v>-16.448801287993774</c:v>
                </c:pt>
                <c:pt idx="17">
                  <c:v>70.03794506513259</c:v>
                </c:pt>
                <c:pt idx="18">
                  <c:v>80</c:v>
                </c:pt>
                <c:pt idx="19">
                  <c:v>0</c:v>
                </c:pt>
                <c:pt idx="20">
                  <c:v>-80</c:v>
                </c:pt>
                <c:pt idx="21">
                  <c:v>-80</c:v>
                </c:pt>
                <c:pt idx="22">
                  <c:v>-25</c:v>
                </c:pt>
                <c:pt idx="23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781-8CB2-72AC9A405D7D}"/>
            </c:ext>
          </c:extLst>
        </c:ser>
        <c:ser>
          <c:idx val="1"/>
          <c:order val="1"/>
          <c:tx>
            <c:strRef>
              <c:f>Sheet1!$DQ$116</c:f>
              <c:strCache>
                <c:ptCount val="1"/>
                <c:pt idx="0">
                  <c:v>Aris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Sheet1!$DR$113:$EO$114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Sheet1!$DR$116:$EO$116</c:f>
              <c:numCache>
                <c:formatCode>0.00</c:formatCode>
                <c:ptCount val="24"/>
                <c:pt idx="0">
                  <c:v>-20.496834658730222</c:v>
                </c:pt>
                <c:pt idx="1">
                  <c:v>1.5460799131687963E-3</c:v>
                </c:pt>
                <c:pt idx="2">
                  <c:v>-1.7856271651908173E-3</c:v>
                </c:pt>
                <c:pt idx="3">
                  <c:v>19.996628774942565</c:v>
                </c:pt>
                <c:pt idx="4">
                  <c:v>-3.3712250574353675E-3</c:v>
                </c:pt>
                <c:pt idx="5">
                  <c:v>24.998977411328269</c:v>
                </c:pt>
                <c:pt idx="6">
                  <c:v>59.999589208176076</c:v>
                </c:pt>
                <c:pt idx="7">
                  <c:v>79.99806264331437</c:v>
                </c:pt>
                <c:pt idx="8">
                  <c:v>5.9394057670942857E-3</c:v>
                </c:pt>
                <c:pt idx="9">
                  <c:v>-1.9129628735754522E-3</c:v>
                </c:pt>
                <c:pt idx="10">
                  <c:v>-20.004559691662507</c:v>
                </c:pt>
                <c:pt idx="11">
                  <c:v>-59.995753524906831</c:v>
                </c:pt>
                <c:pt idx="12">
                  <c:v>79.995411035761208</c:v>
                </c:pt>
                <c:pt idx="13">
                  <c:v>-71.411252378396966</c:v>
                </c:pt>
                <c:pt idx="14">
                  <c:v>-79.997010782065445</c:v>
                </c:pt>
                <c:pt idx="15">
                  <c:v>-33.589143777138815</c:v>
                </c:pt>
                <c:pt idx="16">
                  <c:v>1.1987120060439338E-3</c:v>
                </c:pt>
                <c:pt idx="17">
                  <c:v>80.003155583743137</c:v>
                </c:pt>
                <c:pt idx="18">
                  <c:v>71.687700639117793</c:v>
                </c:pt>
                <c:pt idx="19">
                  <c:v>-20.000000000000909</c:v>
                </c:pt>
                <c:pt idx="20">
                  <c:v>-51.684545055374656</c:v>
                </c:pt>
                <c:pt idx="21">
                  <c:v>-79.998943259989574</c:v>
                </c:pt>
                <c:pt idx="22">
                  <c:v>15.001042103722284</c:v>
                </c:pt>
                <c:pt idx="23">
                  <c:v>5.5034980728887604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A-4781-8CB2-72AC9A405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4647696"/>
        <c:axId val="884649136"/>
      </c:barChart>
      <c:catAx>
        <c:axId val="8846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49136"/>
        <c:crosses val="autoZero"/>
        <c:auto val="1"/>
        <c:lblAlgn val="ctr"/>
        <c:lblOffset val="100"/>
        <c:noMultiLvlLbl val="0"/>
      </c:catAx>
      <c:valAx>
        <c:axId val="8846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State of Charge Battery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Skenario 8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Sheet1!$DR$145:$EO$145</c:f>
              <c:numCache>
                <c:formatCode>0.00</c:formatCode>
                <c:ptCount val="24"/>
                <c:pt idx="0">
                  <c:v>19.999999999999989</c:v>
                </c:pt>
                <c:pt idx="1">
                  <c:v>20</c:v>
                </c:pt>
                <c:pt idx="2">
                  <c:v>20</c:v>
                </c:pt>
                <c:pt idx="3">
                  <c:v>21.628971225057278</c:v>
                </c:pt>
                <c:pt idx="4">
                  <c:v>100</c:v>
                </c:pt>
                <c:pt idx="5">
                  <c:v>160</c:v>
                </c:pt>
                <c:pt idx="6">
                  <c:v>160</c:v>
                </c:pt>
                <c:pt idx="7">
                  <c:v>205</c:v>
                </c:pt>
                <c:pt idx="8">
                  <c:v>205</c:v>
                </c:pt>
                <c:pt idx="9">
                  <c:v>193.91448703712689</c:v>
                </c:pt>
                <c:pt idx="10">
                  <c:v>173.91448703712689</c:v>
                </c:pt>
                <c:pt idx="11">
                  <c:v>125</c:v>
                </c:pt>
                <c:pt idx="12">
                  <c:v>205</c:v>
                </c:pt>
                <c:pt idx="13">
                  <c:v>205</c:v>
                </c:pt>
                <c:pt idx="14">
                  <c:v>205</c:v>
                </c:pt>
                <c:pt idx="15">
                  <c:v>145</c:v>
                </c:pt>
                <c:pt idx="16">
                  <c:v>145</c:v>
                </c:pt>
                <c:pt idx="17">
                  <c:v>125</c:v>
                </c:pt>
                <c:pt idx="18">
                  <c:v>125</c:v>
                </c:pt>
                <c:pt idx="19">
                  <c:v>100</c:v>
                </c:pt>
                <c:pt idx="20">
                  <c:v>20</c:v>
                </c:pt>
                <c:pt idx="21">
                  <c:v>20</c:v>
                </c:pt>
                <c:pt idx="22">
                  <c:v>19.999999999999993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3C-404F-90E8-B8F92A4AA663}"/>
            </c:ext>
          </c:extLst>
        </c:ser>
        <c:ser>
          <c:idx val="0"/>
          <c:order val="1"/>
          <c:tx>
            <c:v>Skenario 9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Sheet1!$DR$161:$EO$161</c:f>
              <c:numCache>
                <c:formatCode>0.00</c:formatCode>
                <c:ptCount val="24"/>
                <c:pt idx="0">
                  <c:v>120.5</c:v>
                </c:pt>
                <c:pt idx="1">
                  <c:v>40.5</c:v>
                </c:pt>
                <c:pt idx="2">
                  <c:v>45</c:v>
                </c:pt>
                <c:pt idx="3">
                  <c:v>125</c:v>
                </c:pt>
                <c:pt idx="4">
                  <c:v>205</c:v>
                </c:pt>
                <c:pt idx="5">
                  <c:v>185</c:v>
                </c:pt>
                <c:pt idx="6">
                  <c:v>105</c:v>
                </c:pt>
                <c:pt idx="7">
                  <c:v>185</c:v>
                </c:pt>
                <c:pt idx="8">
                  <c:v>205</c:v>
                </c:pt>
                <c:pt idx="9">
                  <c:v>205</c:v>
                </c:pt>
                <c:pt idx="10">
                  <c:v>191.3300935249066</c:v>
                </c:pt>
                <c:pt idx="11">
                  <c:v>125</c:v>
                </c:pt>
                <c:pt idx="12">
                  <c:v>205</c:v>
                </c:pt>
                <c:pt idx="13">
                  <c:v>205</c:v>
                </c:pt>
                <c:pt idx="14">
                  <c:v>205</c:v>
                </c:pt>
                <c:pt idx="15">
                  <c:v>205</c:v>
                </c:pt>
                <c:pt idx="16">
                  <c:v>185</c:v>
                </c:pt>
                <c:pt idx="17">
                  <c:v>185</c:v>
                </c:pt>
                <c:pt idx="18">
                  <c:v>185</c:v>
                </c:pt>
                <c:pt idx="19">
                  <c:v>185</c:v>
                </c:pt>
                <c:pt idx="20">
                  <c:v>165.5</c:v>
                </c:pt>
                <c:pt idx="21">
                  <c:v>85.5</c:v>
                </c:pt>
                <c:pt idx="22">
                  <c:v>86.669902103721597</c:v>
                </c:pt>
                <c:pt idx="23">
                  <c:v>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1-45AD-B2A7-6E417475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612656"/>
        <c:axId val="884613136"/>
      </c:lineChart>
      <c:catAx>
        <c:axId val="88461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13136"/>
        <c:crosses val="autoZero"/>
        <c:auto val="1"/>
        <c:lblAlgn val="ctr"/>
        <c:lblOffset val="100"/>
        <c:noMultiLvlLbl val="0"/>
      </c:catAx>
      <c:valAx>
        <c:axId val="8846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Charge/Discharge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Skenario 8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Sheet1!$DR$113:$EO$114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  <c:lvl>
                  <c:pt idx="0">
                    <c:v>Hour</c:v>
                  </c:pt>
                </c:lvl>
              </c:multiLvlStrCache>
            </c:multiLvlStrRef>
          </c:cat>
          <c:val>
            <c:numRef>
              <c:f>Sheet1!$DR$144:$EO$144</c:f>
              <c:numCache>
                <c:formatCode>0.00</c:formatCode>
                <c:ptCount val="24"/>
                <c:pt idx="0">
                  <c:v>-20.500000000000014</c:v>
                </c:pt>
                <c:pt idx="1">
                  <c:v>0</c:v>
                </c:pt>
                <c:pt idx="2">
                  <c:v>0</c:v>
                </c:pt>
                <c:pt idx="3">
                  <c:v>1.628971225057285</c:v>
                </c:pt>
                <c:pt idx="4">
                  <c:v>78.371028774942715</c:v>
                </c:pt>
                <c:pt idx="5">
                  <c:v>60</c:v>
                </c:pt>
                <c:pt idx="6">
                  <c:v>0</c:v>
                </c:pt>
                <c:pt idx="7">
                  <c:v>45</c:v>
                </c:pt>
                <c:pt idx="8">
                  <c:v>0</c:v>
                </c:pt>
                <c:pt idx="9">
                  <c:v>-11.085512962873111</c:v>
                </c:pt>
                <c:pt idx="10">
                  <c:v>-20</c:v>
                </c:pt>
                <c:pt idx="11">
                  <c:v>-48.914487037126889</c:v>
                </c:pt>
                <c:pt idx="12">
                  <c:v>80</c:v>
                </c:pt>
                <c:pt idx="13">
                  <c:v>0</c:v>
                </c:pt>
                <c:pt idx="14">
                  <c:v>0</c:v>
                </c:pt>
                <c:pt idx="15">
                  <c:v>-60</c:v>
                </c:pt>
                <c:pt idx="16">
                  <c:v>0</c:v>
                </c:pt>
                <c:pt idx="17">
                  <c:v>-20</c:v>
                </c:pt>
                <c:pt idx="18">
                  <c:v>0</c:v>
                </c:pt>
                <c:pt idx="19">
                  <c:v>-25</c:v>
                </c:pt>
                <c:pt idx="20">
                  <c:v>-80</c:v>
                </c:pt>
                <c:pt idx="21">
                  <c:v>0</c:v>
                </c:pt>
                <c:pt idx="22">
                  <c:v>0</c:v>
                </c:pt>
                <c:pt idx="23">
                  <c:v>20.500000000000004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A-4781-8CB2-72AC9A405D7D}"/>
            </c:ext>
          </c:extLst>
        </c:ser>
        <c:ser>
          <c:idx val="1"/>
          <c:order val="1"/>
          <c:tx>
            <c:v>Skenario 9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Sheet1!$DR$160:$EO$160</c:f>
              <c:numCache>
                <c:formatCode>0.00</c:formatCode>
                <c:ptCount val="24"/>
                <c:pt idx="0">
                  <c:v>80</c:v>
                </c:pt>
                <c:pt idx="1">
                  <c:v>-80</c:v>
                </c:pt>
                <c:pt idx="2">
                  <c:v>4.5</c:v>
                </c:pt>
                <c:pt idx="3">
                  <c:v>80</c:v>
                </c:pt>
                <c:pt idx="4">
                  <c:v>80</c:v>
                </c:pt>
                <c:pt idx="5">
                  <c:v>-20</c:v>
                </c:pt>
                <c:pt idx="6">
                  <c:v>-80</c:v>
                </c:pt>
                <c:pt idx="7">
                  <c:v>80</c:v>
                </c:pt>
                <c:pt idx="8">
                  <c:v>20</c:v>
                </c:pt>
                <c:pt idx="9">
                  <c:v>0</c:v>
                </c:pt>
                <c:pt idx="10">
                  <c:v>-13.6699064750934</c:v>
                </c:pt>
                <c:pt idx="11">
                  <c:v>-66.330093524906601</c:v>
                </c:pt>
                <c:pt idx="12">
                  <c:v>80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-20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-19.5</c:v>
                </c:pt>
                <c:pt idx="21">
                  <c:v>-80</c:v>
                </c:pt>
                <c:pt idx="22">
                  <c:v>1.1699021037215971</c:v>
                </c:pt>
                <c:pt idx="23">
                  <c:v>-46.169902103721597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A-4FC9-B403-839BF7D91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4647696"/>
        <c:axId val="884649136"/>
      </c:barChart>
      <c:catAx>
        <c:axId val="88464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49136"/>
        <c:crosses val="autoZero"/>
        <c:auto val="1"/>
        <c:lblAlgn val="ctr"/>
        <c:lblOffset val="100"/>
        <c:noMultiLvlLbl val="0"/>
      </c:catAx>
      <c:valAx>
        <c:axId val="88464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4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Inertia Systems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Sheet2!$B$1</c:f>
              <c:strCache>
                <c:ptCount val="1"/>
                <c:pt idx="0">
                  <c:v>#1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Sheet2!$B$2:$B$25</c:f>
              <c:numCache>
                <c:formatCode>General</c:formatCode>
                <c:ptCount val="24"/>
                <c:pt idx="0">
                  <c:v>505.49999999999994</c:v>
                </c:pt>
                <c:pt idx="1">
                  <c:v>505.49999999999994</c:v>
                </c:pt>
                <c:pt idx="2">
                  <c:v>505.49999999999994</c:v>
                </c:pt>
                <c:pt idx="3">
                  <c:v>505.49999999999994</c:v>
                </c:pt>
                <c:pt idx="4">
                  <c:v>505.49999999999994</c:v>
                </c:pt>
                <c:pt idx="5">
                  <c:v>505.49999999999994</c:v>
                </c:pt>
                <c:pt idx="6">
                  <c:v>505.49999999999994</c:v>
                </c:pt>
                <c:pt idx="7">
                  <c:v>505.49999999999994</c:v>
                </c:pt>
                <c:pt idx="8">
                  <c:v>505.49999999999994</c:v>
                </c:pt>
                <c:pt idx="9">
                  <c:v>505.49999999999994</c:v>
                </c:pt>
                <c:pt idx="10">
                  <c:v>518.46</c:v>
                </c:pt>
                <c:pt idx="11">
                  <c:v>518.46</c:v>
                </c:pt>
                <c:pt idx="12">
                  <c:v>505.49999999999994</c:v>
                </c:pt>
                <c:pt idx="13">
                  <c:v>518.46</c:v>
                </c:pt>
                <c:pt idx="14">
                  <c:v>534.06000000000006</c:v>
                </c:pt>
                <c:pt idx="15">
                  <c:v>521.1</c:v>
                </c:pt>
                <c:pt idx="16">
                  <c:v>521.1</c:v>
                </c:pt>
                <c:pt idx="17">
                  <c:v>505.49999999999994</c:v>
                </c:pt>
                <c:pt idx="18">
                  <c:v>518.46</c:v>
                </c:pt>
                <c:pt idx="19">
                  <c:v>534.06000000000006</c:v>
                </c:pt>
                <c:pt idx="20">
                  <c:v>534.06000000000006</c:v>
                </c:pt>
                <c:pt idx="21">
                  <c:v>518.46</c:v>
                </c:pt>
                <c:pt idx="22">
                  <c:v>505.49999999999994</c:v>
                </c:pt>
                <c:pt idx="23">
                  <c:v>505.49999999999994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A-4063-9D37-F1BDCCA2B633}"/>
            </c:ext>
          </c:extLst>
        </c:ser>
        <c:ser>
          <c:idx val="2"/>
          <c:order val="1"/>
          <c:tx>
            <c:strRef>
              <c:f>Sheet2!$C$1</c:f>
              <c:strCache>
                <c:ptCount val="1"/>
                <c:pt idx="0">
                  <c:v>#2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Sheet2!$C$2:$C$25</c:f>
              <c:numCache>
                <c:formatCode>General</c:formatCode>
                <c:ptCount val="24"/>
                <c:pt idx="0">
                  <c:v>505.49999999999994</c:v>
                </c:pt>
                <c:pt idx="1">
                  <c:v>505.49999999999994</c:v>
                </c:pt>
                <c:pt idx="2">
                  <c:v>505.49999999999994</c:v>
                </c:pt>
                <c:pt idx="3">
                  <c:v>505.49999999999994</c:v>
                </c:pt>
                <c:pt idx="4">
                  <c:v>505.49999999999994</c:v>
                </c:pt>
                <c:pt idx="5">
                  <c:v>505.49999999999994</c:v>
                </c:pt>
                <c:pt idx="6">
                  <c:v>505.49999999999994</c:v>
                </c:pt>
                <c:pt idx="7">
                  <c:v>505.49999999999994</c:v>
                </c:pt>
                <c:pt idx="8">
                  <c:v>505.49999999999994</c:v>
                </c:pt>
                <c:pt idx="9">
                  <c:v>505.49999999999994</c:v>
                </c:pt>
                <c:pt idx="10">
                  <c:v>521.1</c:v>
                </c:pt>
                <c:pt idx="11">
                  <c:v>521.1</c:v>
                </c:pt>
                <c:pt idx="12">
                  <c:v>521.1</c:v>
                </c:pt>
                <c:pt idx="13">
                  <c:v>521.1</c:v>
                </c:pt>
                <c:pt idx="14">
                  <c:v>534.06000000000006</c:v>
                </c:pt>
                <c:pt idx="15">
                  <c:v>534.06000000000006</c:v>
                </c:pt>
                <c:pt idx="16">
                  <c:v>521.1</c:v>
                </c:pt>
                <c:pt idx="17">
                  <c:v>521.1</c:v>
                </c:pt>
                <c:pt idx="18">
                  <c:v>521.1</c:v>
                </c:pt>
                <c:pt idx="19">
                  <c:v>534.06000000000006</c:v>
                </c:pt>
                <c:pt idx="20">
                  <c:v>534.06000000000006</c:v>
                </c:pt>
                <c:pt idx="21">
                  <c:v>521.1</c:v>
                </c:pt>
                <c:pt idx="22">
                  <c:v>505.49999999999994</c:v>
                </c:pt>
                <c:pt idx="23">
                  <c:v>505.49999999999994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AA-4063-9D37-F1BDCCA2B633}"/>
            </c:ext>
          </c:extLst>
        </c:ser>
        <c:ser>
          <c:idx val="3"/>
          <c:order val="2"/>
          <c:tx>
            <c:strRef>
              <c:f>Sheet2!$D$1</c:f>
              <c:strCache>
                <c:ptCount val="1"/>
                <c:pt idx="0">
                  <c:v>#3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Sheet2!$D$2:$D$25</c:f>
              <c:numCache>
                <c:formatCode>General</c:formatCode>
                <c:ptCount val="24"/>
                <c:pt idx="0">
                  <c:v>651.30000000000007</c:v>
                </c:pt>
                <c:pt idx="1">
                  <c:v>651.30000000000007</c:v>
                </c:pt>
                <c:pt idx="2">
                  <c:v>651.30000000000007</c:v>
                </c:pt>
                <c:pt idx="3">
                  <c:v>651.30000000000007</c:v>
                </c:pt>
                <c:pt idx="4">
                  <c:v>651.30000000000007</c:v>
                </c:pt>
                <c:pt idx="5">
                  <c:v>651.30000000000007</c:v>
                </c:pt>
                <c:pt idx="6">
                  <c:v>651.30000000000007</c:v>
                </c:pt>
                <c:pt idx="7">
                  <c:v>651.30000000000007</c:v>
                </c:pt>
                <c:pt idx="8">
                  <c:v>651.30000000000007</c:v>
                </c:pt>
                <c:pt idx="9">
                  <c:v>651.30000000000007</c:v>
                </c:pt>
                <c:pt idx="10">
                  <c:v>651.30000000000007</c:v>
                </c:pt>
                <c:pt idx="11">
                  <c:v>651.30000000000007</c:v>
                </c:pt>
                <c:pt idx="12">
                  <c:v>651.30000000000007</c:v>
                </c:pt>
                <c:pt idx="13">
                  <c:v>651.30000000000007</c:v>
                </c:pt>
                <c:pt idx="14">
                  <c:v>651.30000000000007</c:v>
                </c:pt>
                <c:pt idx="15">
                  <c:v>651.30000000000007</c:v>
                </c:pt>
                <c:pt idx="16">
                  <c:v>651.30000000000007</c:v>
                </c:pt>
                <c:pt idx="17">
                  <c:v>651.30000000000007</c:v>
                </c:pt>
                <c:pt idx="18">
                  <c:v>651.30000000000007</c:v>
                </c:pt>
                <c:pt idx="19">
                  <c:v>651.30000000000007</c:v>
                </c:pt>
                <c:pt idx="20">
                  <c:v>651.30000000000007</c:v>
                </c:pt>
                <c:pt idx="21">
                  <c:v>651.30000000000007</c:v>
                </c:pt>
                <c:pt idx="22">
                  <c:v>505.49999999999994</c:v>
                </c:pt>
                <c:pt idx="23">
                  <c:v>505.49999999999994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AA-4063-9D37-F1BDCCA2B633}"/>
            </c:ext>
          </c:extLst>
        </c:ser>
        <c:ser>
          <c:idx val="4"/>
          <c:order val="3"/>
          <c:tx>
            <c:strRef>
              <c:f>Sheet2!$E$1</c:f>
              <c:strCache>
                <c:ptCount val="1"/>
                <c:pt idx="0">
                  <c:v>#4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Sheet2!$E$2:$E$25</c:f>
              <c:numCache>
                <c:formatCode>General</c:formatCode>
                <c:ptCount val="24"/>
                <c:pt idx="0">
                  <c:v>651.30000000000007</c:v>
                </c:pt>
                <c:pt idx="1">
                  <c:v>651.30000000000007</c:v>
                </c:pt>
                <c:pt idx="2">
                  <c:v>651.30000000000007</c:v>
                </c:pt>
                <c:pt idx="3">
                  <c:v>651.30000000000007</c:v>
                </c:pt>
                <c:pt idx="4">
                  <c:v>651.30000000000007</c:v>
                </c:pt>
                <c:pt idx="5">
                  <c:v>651.30000000000007</c:v>
                </c:pt>
                <c:pt idx="6">
                  <c:v>651.30000000000007</c:v>
                </c:pt>
                <c:pt idx="7">
                  <c:v>651.30000000000007</c:v>
                </c:pt>
                <c:pt idx="8">
                  <c:v>651.30000000000007</c:v>
                </c:pt>
                <c:pt idx="9">
                  <c:v>790.44</c:v>
                </c:pt>
                <c:pt idx="10">
                  <c:v>790.44</c:v>
                </c:pt>
                <c:pt idx="11">
                  <c:v>790.44</c:v>
                </c:pt>
                <c:pt idx="12">
                  <c:v>790.44</c:v>
                </c:pt>
                <c:pt idx="13">
                  <c:v>790.44</c:v>
                </c:pt>
                <c:pt idx="14">
                  <c:v>790.44</c:v>
                </c:pt>
                <c:pt idx="15">
                  <c:v>790.44</c:v>
                </c:pt>
                <c:pt idx="16">
                  <c:v>790.44</c:v>
                </c:pt>
                <c:pt idx="17">
                  <c:v>790.44</c:v>
                </c:pt>
                <c:pt idx="18">
                  <c:v>790.44</c:v>
                </c:pt>
                <c:pt idx="19">
                  <c:v>790.44</c:v>
                </c:pt>
                <c:pt idx="20">
                  <c:v>790.44</c:v>
                </c:pt>
                <c:pt idx="21">
                  <c:v>790.44</c:v>
                </c:pt>
                <c:pt idx="22">
                  <c:v>790.44</c:v>
                </c:pt>
                <c:pt idx="23">
                  <c:v>651.30000000000007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AA-4063-9D37-F1BDCCA2B633}"/>
            </c:ext>
          </c:extLst>
        </c:ser>
        <c:ser>
          <c:idx val="5"/>
          <c:order val="4"/>
          <c:tx>
            <c:strRef>
              <c:f>Sheet2!$F$1</c:f>
              <c:strCache>
                <c:ptCount val="1"/>
                <c:pt idx="0">
                  <c:v>#5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Sheet2!$F$2:$F$25</c:f>
              <c:numCache>
                <c:formatCode>General</c:formatCode>
                <c:ptCount val="24"/>
                <c:pt idx="0">
                  <c:v>992.94</c:v>
                </c:pt>
                <c:pt idx="1">
                  <c:v>853.80000000000007</c:v>
                </c:pt>
                <c:pt idx="2">
                  <c:v>853.80000000000007</c:v>
                </c:pt>
                <c:pt idx="3">
                  <c:v>853.80000000000007</c:v>
                </c:pt>
                <c:pt idx="4">
                  <c:v>853.80000000000007</c:v>
                </c:pt>
                <c:pt idx="5">
                  <c:v>853.80000000000007</c:v>
                </c:pt>
                <c:pt idx="6">
                  <c:v>853.80000000000007</c:v>
                </c:pt>
                <c:pt idx="7">
                  <c:v>853.80000000000007</c:v>
                </c:pt>
                <c:pt idx="8">
                  <c:v>853.80000000000007</c:v>
                </c:pt>
                <c:pt idx="9">
                  <c:v>853.80000000000007</c:v>
                </c:pt>
                <c:pt idx="10">
                  <c:v>853.80000000000007</c:v>
                </c:pt>
                <c:pt idx="11">
                  <c:v>853.80000000000007</c:v>
                </c:pt>
                <c:pt idx="12">
                  <c:v>853.80000000000007</c:v>
                </c:pt>
                <c:pt idx="13">
                  <c:v>853.80000000000007</c:v>
                </c:pt>
                <c:pt idx="14">
                  <c:v>853.80000000000007</c:v>
                </c:pt>
                <c:pt idx="15">
                  <c:v>853.80000000000007</c:v>
                </c:pt>
                <c:pt idx="16">
                  <c:v>853.80000000000007</c:v>
                </c:pt>
                <c:pt idx="17">
                  <c:v>853.80000000000007</c:v>
                </c:pt>
                <c:pt idx="18">
                  <c:v>853.80000000000007</c:v>
                </c:pt>
                <c:pt idx="19">
                  <c:v>853.80000000000007</c:v>
                </c:pt>
                <c:pt idx="20">
                  <c:v>853.80000000000007</c:v>
                </c:pt>
                <c:pt idx="21">
                  <c:v>853.80000000000007</c:v>
                </c:pt>
                <c:pt idx="22">
                  <c:v>708</c:v>
                </c:pt>
                <c:pt idx="23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AA-4063-9D37-F1BDCCA2B633}"/>
            </c:ext>
          </c:extLst>
        </c:ser>
        <c:ser>
          <c:idx val="0"/>
          <c:order val="5"/>
          <c:tx>
            <c:strRef>
              <c:f>Sheet2!$G$1</c:f>
              <c:strCache>
                <c:ptCount val="1"/>
                <c:pt idx="0">
                  <c:v>#6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Sheet2!$G$2:$G$25</c:f>
              <c:numCache>
                <c:formatCode>General</c:formatCode>
                <c:ptCount val="24"/>
                <c:pt idx="0">
                  <c:v>853.80000000000007</c:v>
                </c:pt>
                <c:pt idx="1">
                  <c:v>853.80000000000007</c:v>
                </c:pt>
                <c:pt idx="2">
                  <c:v>853.80000000000007</c:v>
                </c:pt>
                <c:pt idx="3">
                  <c:v>853.80000000000007</c:v>
                </c:pt>
                <c:pt idx="4">
                  <c:v>853.80000000000007</c:v>
                </c:pt>
                <c:pt idx="5">
                  <c:v>853.80000000000007</c:v>
                </c:pt>
                <c:pt idx="6">
                  <c:v>853.80000000000007</c:v>
                </c:pt>
                <c:pt idx="7">
                  <c:v>853.80000000000007</c:v>
                </c:pt>
                <c:pt idx="8">
                  <c:v>853.80000000000007</c:v>
                </c:pt>
                <c:pt idx="9">
                  <c:v>853.80000000000007</c:v>
                </c:pt>
                <c:pt idx="10">
                  <c:v>853.80000000000007</c:v>
                </c:pt>
                <c:pt idx="11">
                  <c:v>853.80000000000007</c:v>
                </c:pt>
                <c:pt idx="12">
                  <c:v>853.80000000000007</c:v>
                </c:pt>
                <c:pt idx="13">
                  <c:v>853.80000000000007</c:v>
                </c:pt>
                <c:pt idx="14">
                  <c:v>853.80000000000007</c:v>
                </c:pt>
                <c:pt idx="15">
                  <c:v>853.80000000000007</c:v>
                </c:pt>
                <c:pt idx="16">
                  <c:v>853.80000000000007</c:v>
                </c:pt>
                <c:pt idx="17">
                  <c:v>853.80000000000007</c:v>
                </c:pt>
                <c:pt idx="18">
                  <c:v>853.80000000000007</c:v>
                </c:pt>
                <c:pt idx="19">
                  <c:v>853.80000000000007</c:v>
                </c:pt>
                <c:pt idx="20">
                  <c:v>853.80000000000007</c:v>
                </c:pt>
                <c:pt idx="21">
                  <c:v>853.80000000000007</c:v>
                </c:pt>
                <c:pt idx="22">
                  <c:v>853.80000000000007</c:v>
                </c:pt>
                <c:pt idx="23">
                  <c:v>853.80000000000007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AA-4063-9D37-F1BDCCA2B633}"/>
            </c:ext>
          </c:extLst>
        </c:ser>
        <c:ser>
          <c:idx val="6"/>
          <c:order val="6"/>
          <c:tx>
            <c:strRef>
              <c:f>Sheet2!$H$1</c:f>
              <c:strCache>
                <c:ptCount val="1"/>
                <c:pt idx="0">
                  <c:v>#7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Sheet2!$H$2:$H$25</c:f>
              <c:numCache>
                <c:formatCode>General</c:formatCode>
                <c:ptCount val="24"/>
                <c:pt idx="0">
                  <c:v>708</c:v>
                </c:pt>
                <c:pt idx="1">
                  <c:v>708</c:v>
                </c:pt>
                <c:pt idx="2">
                  <c:v>708</c:v>
                </c:pt>
                <c:pt idx="3">
                  <c:v>708</c:v>
                </c:pt>
                <c:pt idx="4">
                  <c:v>708</c:v>
                </c:pt>
                <c:pt idx="5">
                  <c:v>708</c:v>
                </c:pt>
                <c:pt idx="6">
                  <c:v>708</c:v>
                </c:pt>
                <c:pt idx="7">
                  <c:v>708</c:v>
                </c:pt>
                <c:pt idx="8">
                  <c:v>708</c:v>
                </c:pt>
                <c:pt idx="9">
                  <c:v>708</c:v>
                </c:pt>
                <c:pt idx="10">
                  <c:v>723.6</c:v>
                </c:pt>
                <c:pt idx="11">
                  <c:v>723.6</c:v>
                </c:pt>
                <c:pt idx="12">
                  <c:v>723.6</c:v>
                </c:pt>
                <c:pt idx="13">
                  <c:v>723.6</c:v>
                </c:pt>
                <c:pt idx="14">
                  <c:v>723.6</c:v>
                </c:pt>
                <c:pt idx="15">
                  <c:v>723.6</c:v>
                </c:pt>
                <c:pt idx="16">
                  <c:v>723.6</c:v>
                </c:pt>
                <c:pt idx="17">
                  <c:v>723.6</c:v>
                </c:pt>
                <c:pt idx="18">
                  <c:v>736.56000000000006</c:v>
                </c:pt>
                <c:pt idx="19">
                  <c:v>736.56000000000006</c:v>
                </c:pt>
                <c:pt idx="20">
                  <c:v>723.6</c:v>
                </c:pt>
                <c:pt idx="21">
                  <c:v>723.6</c:v>
                </c:pt>
                <c:pt idx="22">
                  <c:v>708</c:v>
                </c:pt>
                <c:pt idx="23">
                  <c:v>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9-4BAE-9B91-D4EDB3A04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764000"/>
        <c:axId val="618135919"/>
      </c:lineChart>
      <c:catAx>
        <c:axId val="1293764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35919"/>
        <c:crosses val="autoZero"/>
        <c:auto val="1"/>
        <c:lblAlgn val="ctr"/>
        <c:lblOffset val="100"/>
        <c:noMultiLvlLbl val="0"/>
      </c:catAx>
      <c:valAx>
        <c:axId val="618135919"/>
        <c:scaling>
          <c:orientation val="minMax"/>
          <c:max val="1000"/>
          <c:min val="500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Inertia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76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Demand!$B$1</c:f>
              <c:strCache>
                <c:ptCount val="1"/>
                <c:pt idx="0">
                  <c:v>Demand (MW)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Demand!$A$2:$A$25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Demand!$B$2:$B$25</c:f>
              <c:numCache>
                <c:formatCode>0.00</c:formatCode>
                <c:ptCount val="24"/>
                <c:pt idx="0">
                  <c:v>4225.6768346587305</c:v>
                </c:pt>
                <c:pt idx="1">
                  <c:v>4173.1684539200869</c:v>
                </c:pt>
                <c:pt idx="2">
                  <c:v>4089.201785627165</c:v>
                </c:pt>
                <c:pt idx="3">
                  <c:v>4009.3833712250575</c:v>
                </c:pt>
                <c:pt idx="4">
                  <c:v>4009.3833712250575</c:v>
                </c:pt>
                <c:pt idx="5">
                  <c:v>4211.5210225886722</c:v>
                </c:pt>
                <c:pt idx="6">
                  <c:v>4273.0604107918234</c:v>
                </c:pt>
                <c:pt idx="7">
                  <c:v>4224.6919373566861</c:v>
                </c:pt>
                <c:pt idx="8">
                  <c:v>4531.4540605942329</c:v>
                </c:pt>
                <c:pt idx="9">
                  <c:v>4847.0719129628733</c:v>
                </c:pt>
                <c:pt idx="10">
                  <c:v>4980.9845596916621</c:v>
                </c:pt>
                <c:pt idx="11">
                  <c:v>5032.1157535249067</c:v>
                </c:pt>
                <c:pt idx="12">
                  <c:v>4781.5845889642387</c:v>
                </c:pt>
                <c:pt idx="13">
                  <c:v>4955.8112523783966</c:v>
                </c:pt>
                <c:pt idx="14">
                  <c:v>5107.4270107820657</c:v>
                </c:pt>
                <c:pt idx="15">
                  <c:v>5062.5891437771388</c:v>
                </c:pt>
                <c:pt idx="16">
                  <c:v>5000.4488012879938</c:v>
                </c:pt>
                <c:pt idx="17">
                  <c:v>4900.5568444162564</c:v>
                </c:pt>
                <c:pt idx="18">
                  <c:v>4952.2722993608822</c:v>
                </c:pt>
                <c:pt idx="19">
                  <c:v>5132.4000000000005</c:v>
                </c:pt>
                <c:pt idx="20">
                  <c:v>5080.6845450553747</c:v>
                </c:pt>
                <c:pt idx="21">
                  <c:v>4974.2989432599898</c:v>
                </c:pt>
                <c:pt idx="22">
                  <c:v>4703.5189578962782</c:v>
                </c:pt>
                <c:pt idx="23">
                  <c:v>4496.2565019271115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A-4325-998C-B6FCCB7F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7202960"/>
        <c:axId val="406029199"/>
      </c:lineChart>
      <c:catAx>
        <c:axId val="12372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29199"/>
        <c:crosses val="autoZero"/>
        <c:auto val="1"/>
        <c:lblAlgn val="ctr"/>
        <c:lblOffset val="100"/>
        <c:noMultiLvlLbl val="0"/>
      </c:catAx>
      <c:valAx>
        <c:axId val="4060291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02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Demand &amp;</a:t>
            </a:r>
            <a:r>
              <a:rPr lang="en-ID" baseline="0"/>
              <a:t> WT Potential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Demand!$B$1</c:f>
              <c:strCache>
                <c:ptCount val="1"/>
                <c:pt idx="0">
                  <c:v>Demand (MW)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Demand!$A$2:$A$25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Demand!$B$2:$B$25</c:f>
              <c:numCache>
                <c:formatCode>0.00</c:formatCode>
                <c:ptCount val="24"/>
                <c:pt idx="0">
                  <c:v>4225.6768346587305</c:v>
                </c:pt>
                <c:pt idx="1">
                  <c:v>4173.1684539200869</c:v>
                </c:pt>
                <c:pt idx="2">
                  <c:v>4089.201785627165</c:v>
                </c:pt>
                <c:pt idx="3">
                  <c:v>4009.3833712250575</c:v>
                </c:pt>
                <c:pt idx="4">
                  <c:v>4009.3833712250575</c:v>
                </c:pt>
                <c:pt idx="5">
                  <c:v>4211.5210225886722</c:v>
                </c:pt>
                <c:pt idx="6">
                  <c:v>4273.0604107918234</c:v>
                </c:pt>
                <c:pt idx="7">
                  <c:v>4224.6919373566861</c:v>
                </c:pt>
                <c:pt idx="8">
                  <c:v>4531.4540605942329</c:v>
                </c:pt>
                <c:pt idx="9">
                  <c:v>4847.0719129628733</c:v>
                </c:pt>
                <c:pt idx="10">
                  <c:v>4980.9845596916621</c:v>
                </c:pt>
                <c:pt idx="11">
                  <c:v>5032.1157535249067</c:v>
                </c:pt>
                <c:pt idx="12">
                  <c:v>4781.5845889642387</c:v>
                </c:pt>
                <c:pt idx="13">
                  <c:v>4955.8112523783966</c:v>
                </c:pt>
                <c:pt idx="14">
                  <c:v>5107.4270107820657</c:v>
                </c:pt>
                <c:pt idx="15">
                  <c:v>5062.5891437771388</c:v>
                </c:pt>
                <c:pt idx="16">
                  <c:v>5000.4488012879938</c:v>
                </c:pt>
                <c:pt idx="17">
                  <c:v>4900.5568444162564</c:v>
                </c:pt>
                <c:pt idx="18">
                  <c:v>4952.2722993608822</c:v>
                </c:pt>
                <c:pt idx="19">
                  <c:v>5132.4000000000005</c:v>
                </c:pt>
                <c:pt idx="20">
                  <c:v>5080.6845450553747</c:v>
                </c:pt>
                <c:pt idx="21">
                  <c:v>4974.2989432599898</c:v>
                </c:pt>
                <c:pt idx="22">
                  <c:v>4703.5189578962782</c:v>
                </c:pt>
                <c:pt idx="23">
                  <c:v>4496.2565019271115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A-4325-998C-B6FCCB7F2C62}"/>
            </c:ext>
          </c:extLst>
        </c:ser>
        <c:ser>
          <c:idx val="1"/>
          <c:order val="1"/>
          <c:tx>
            <c:v>WT Potential (MW)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Demand!$D$2:$D$25</c:f>
              <c:numCache>
                <c:formatCode>General</c:formatCode>
                <c:ptCount val="24"/>
                <c:pt idx="0">
                  <c:v>400</c:v>
                </c:pt>
                <c:pt idx="1">
                  <c:v>338.50959999999998</c:v>
                </c:pt>
                <c:pt idx="2">
                  <c:v>347.43400000000003</c:v>
                </c:pt>
                <c:pt idx="3">
                  <c:v>333.57119999999998</c:v>
                </c:pt>
                <c:pt idx="4">
                  <c:v>371.75440000000003</c:v>
                </c:pt>
                <c:pt idx="5">
                  <c:v>272.37920000000003</c:v>
                </c:pt>
                <c:pt idx="6">
                  <c:v>309.17360000000002</c:v>
                </c:pt>
                <c:pt idx="7">
                  <c:v>237.32959999999997</c:v>
                </c:pt>
                <c:pt idx="8">
                  <c:v>308.59480000000002</c:v>
                </c:pt>
                <c:pt idx="9">
                  <c:v>390.9864</c:v>
                </c:pt>
                <c:pt idx="10">
                  <c:v>288.66679999999997</c:v>
                </c:pt>
                <c:pt idx="11">
                  <c:v>180.5616</c:v>
                </c:pt>
                <c:pt idx="12">
                  <c:v>118.5444</c:v>
                </c:pt>
                <c:pt idx="13">
                  <c:v>134.0264</c:v>
                </c:pt>
                <c:pt idx="14">
                  <c:v>127.08919999999999</c:v>
                </c:pt>
                <c:pt idx="15">
                  <c:v>101.31559999999999</c:v>
                </c:pt>
                <c:pt idx="16">
                  <c:v>185.3972</c:v>
                </c:pt>
                <c:pt idx="17">
                  <c:v>217.2336</c:v>
                </c:pt>
                <c:pt idx="18">
                  <c:v>233.70400000000001</c:v>
                </c:pt>
                <c:pt idx="19">
                  <c:v>266.38320000000004</c:v>
                </c:pt>
                <c:pt idx="20">
                  <c:v>255.49799999999999</c:v>
                </c:pt>
                <c:pt idx="21">
                  <c:v>197.36840000000001</c:v>
                </c:pt>
                <c:pt idx="22">
                  <c:v>219.4648</c:v>
                </c:pt>
                <c:pt idx="23">
                  <c:v>140.30720000000002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07-4C47-92CB-9EEEF556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37202960"/>
        <c:axId val="406029199"/>
      </c:lineChart>
      <c:catAx>
        <c:axId val="123720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29199"/>
        <c:crosses val="autoZero"/>
        <c:auto val="1"/>
        <c:lblAlgn val="ctr"/>
        <c:lblOffset val="100"/>
        <c:noMultiLvlLbl val="0"/>
      </c:catAx>
      <c:valAx>
        <c:axId val="406029199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20296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16</xdr:row>
      <xdr:rowOff>0</xdr:rowOff>
    </xdr:from>
    <xdr:to>
      <xdr:col>20</xdr:col>
      <xdr:colOff>140500</xdr:colOff>
      <xdr:row>16</xdr:row>
      <xdr:rowOff>2341117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ADB48E-D09F-1D03-2F1D-237A68170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2500" y="17605375"/>
          <a:ext cx="6300000" cy="2341117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140500</xdr:colOff>
      <xdr:row>17</xdr:row>
      <xdr:rowOff>2339674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3109FA-95E2-E6C5-A5E6-C85BD722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2500" y="20002500"/>
          <a:ext cx="6300000" cy="23411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421821</xdr:colOff>
      <xdr:row>122</xdr:row>
      <xdr:rowOff>129721</xdr:rowOff>
    </xdr:from>
    <xdr:to>
      <xdr:col>136</xdr:col>
      <xdr:colOff>131536</xdr:colOff>
      <xdr:row>137</xdr:row>
      <xdr:rowOff>151493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73C1F-4BB3-8BBE-8E8C-C3169BA16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120</xdr:col>
      <xdr:colOff>104320</xdr:colOff>
      <xdr:row>122</xdr:row>
      <xdr:rowOff>147864</xdr:rowOff>
    </xdr:from>
    <xdr:to>
      <xdr:col>127</xdr:col>
      <xdr:colOff>403677</xdr:colOff>
      <xdr:row>137</xdr:row>
      <xdr:rowOff>169636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51764-82CA-37FC-FFAD-1B5516A01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153</xdr:col>
      <xdr:colOff>574221</xdr:colOff>
      <xdr:row>140</xdr:row>
      <xdr:rowOff>153307</xdr:rowOff>
    </xdr:from>
    <xdr:to>
      <xdr:col>161</xdr:col>
      <xdr:colOff>283936</xdr:colOff>
      <xdr:row>155</xdr:row>
      <xdr:rowOff>175079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D907C6-8AD6-4E1F-AD86-38EE6A3C9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145</xdr:col>
      <xdr:colOff>231320</xdr:colOff>
      <xdr:row>140</xdr:row>
      <xdr:rowOff>171450</xdr:rowOff>
    </xdr:from>
    <xdr:to>
      <xdr:col>152</xdr:col>
      <xdr:colOff>556077</xdr:colOff>
      <xdr:row>156</xdr:row>
      <xdr:rowOff>15422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006A6B-93B5-485A-4EAF-095B58547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478864</xdr:colOff>
      <xdr:row>1</xdr:row>
      <xdr:rowOff>76200</xdr:rowOff>
    </xdr:from>
    <xdr:to>
      <xdr:col>21</xdr:col>
      <xdr:colOff>285189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60129-3C87-9507-54BA-01B909C8E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572861</xdr:colOff>
      <xdr:row>3</xdr:row>
      <xdr:rowOff>95249</xdr:rowOff>
    </xdr:from>
    <xdr:to>
      <xdr:col>16</xdr:col>
      <xdr:colOff>268061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B974C-2958-91E5-FCB4-C1C0B5AB1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500290</xdr:colOff>
      <xdr:row>3</xdr:row>
      <xdr:rowOff>95249</xdr:rowOff>
    </xdr:from>
    <xdr:to>
      <xdr:col>24</xdr:col>
      <xdr:colOff>195489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10F265-3CCF-8AC2-CC1A-CFF0FE704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57CE-3DF5-45D8-9A41-75C37697A51A}">
  <dimension ref="A1:K18"/>
  <sheetViews>
    <sheetView topLeftCell="A13" zoomScale="55" zoomScaleNormal="55" workbookViewId="0">
      <selection activeCell="B19" sqref="B19"/>
    </sheetView>
  </sheetViews>
  <sheetFormatPr defaultRowHeight="14.5" x14ac:dyDescent="0.35"/>
  <cols>
    <col min="1" max="1" width="3.6328125" style="7" customWidth="1"/>
    <col min="2" max="2" width="28.1796875" style="7" customWidth="1"/>
    <col min="3" max="3" width="25.6328125" customWidth="1"/>
    <col min="4" max="4" width="11.26953125" customWidth="1"/>
    <col min="5" max="5" width="14" bestFit="1" customWidth="1"/>
    <col min="6" max="9" width="11.26953125" customWidth="1"/>
    <col min="10" max="10" width="12.54296875" bestFit="1" customWidth="1"/>
    <col min="11" max="11" width="10.36328125" bestFit="1" customWidth="1"/>
  </cols>
  <sheetData>
    <row r="1" spans="1:11" ht="16.5" customHeight="1" x14ac:dyDescent="0.35">
      <c r="A1" s="59" t="s">
        <v>15</v>
      </c>
      <c r="B1" s="60" t="s">
        <v>0</v>
      </c>
      <c r="C1" s="61"/>
      <c r="D1" s="58" t="s">
        <v>1</v>
      </c>
      <c r="E1" s="58"/>
      <c r="F1" s="58"/>
      <c r="G1" s="58"/>
      <c r="H1" s="58" t="s">
        <v>2</v>
      </c>
      <c r="I1" s="58" t="s">
        <v>3</v>
      </c>
      <c r="J1" s="58" t="s">
        <v>4</v>
      </c>
    </row>
    <row r="2" spans="1:11" x14ac:dyDescent="0.35">
      <c r="A2" s="59"/>
      <c r="B2" s="3" t="s">
        <v>16</v>
      </c>
      <c r="C2" s="3" t="s">
        <v>17</v>
      </c>
      <c r="D2" s="3" t="s">
        <v>5</v>
      </c>
      <c r="E2" s="3" t="s">
        <v>6</v>
      </c>
      <c r="F2" s="3" t="s">
        <v>7</v>
      </c>
      <c r="G2" s="3" t="s">
        <v>8</v>
      </c>
      <c r="H2" s="58"/>
      <c r="I2" s="58"/>
      <c r="J2" s="58"/>
    </row>
    <row r="3" spans="1:11" ht="165" customHeight="1" x14ac:dyDescent="0.35">
      <c r="A3" s="7">
        <v>1</v>
      </c>
      <c r="B3" s="8" t="s">
        <v>18</v>
      </c>
      <c r="C3" s="1" t="s">
        <v>29</v>
      </c>
      <c r="D3" s="5">
        <v>0</v>
      </c>
      <c r="E3" s="5">
        <v>3444016.23</v>
      </c>
      <c r="F3" s="5">
        <v>411849.85</v>
      </c>
      <c r="G3" s="5">
        <v>0</v>
      </c>
      <c r="H3" s="5">
        <v>14016</v>
      </c>
      <c r="I3" s="5">
        <v>0</v>
      </c>
      <c r="J3" s="5">
        <v>3869882.09</v>
      </c>
      <c r="K3" s="4"/>
    </row>
    <row r="4" spans="1:11" ht="165" customHeight="1" x14ac:dyDescent="0.35">
      <c r="A4" s="7">
        <v>2</v>
      </c>
      <c r="B4" s="8" t="s">
        <v>19</v>
      </c>
      <c r="C4" s="1" t="s">
        <v>30</v>
      </c>
      <c r="D4" s="5">
        <v>0</v>
      </c>
      <c r="E4" s="5">
        <v>3454898.28</v>
      </c>
      <c r="F4" s="5">
        <v>418325.47</v>
      </c>
      <c r="G4" s="5">
        <v>0</v>
      </c>
      <c r="H4" s="5">
        <v>8304</v>
      </c>
      <c r="I4" s="5">
        <v>0</v>
      </c>
      <c r="J4" s="5">
        <v>3881527.75</v>
      </c>
    </row>
    <row r="5" spans="1:11" ht="165" hidden="1" customHeight="1" x14ac:dyDescent="0.35">
      <c r="C5" s="2" t="s">
        <v>9</v>
      </c>
      <c r="D5" s="6">
        <v>0</v>
      </c>
      <c r="E5" s="6">
        <v>345585436</v>
      </c>
      <c r="F5" s="6">
        <v>418325.47</v>
      </c>
      <c r="G5" s="6">
        <v>0</v>
      </c>
      <c r="H5" s="6">
        <v>8304</v>
      </c>
      <c r="I5" s="6">
        <v>0</v>
      </c>
      <c r="J5" s="6">
        <v>3882483.84</v>
      </c>
    </row>
    <row r="6" spans="1:11" ht="165" customHeight="1" x14ac:dyDescent="0.35">
      <c r="A6" s="7">
        <v>3</v>
      </c>
      <c r="B6" s="8" t="s">
        <v>20</v>
      </c>
      <c r="C6" s="1" t="s">
        <v>10</v>
      </c>
      <c r="D6" s="5">
        <v>0</v>
      </c>
      <c r="E6" s="5">
        <v>3452429.36</v>
      </c>
      <c r="F6" s="5">
        <v>454586.54</v>
      </c>
      <c r="G6" s="5">
        <v>0</v>
      </c>
      <c r="H6" s="5">
        <v>0</v>
      </c>
      <c r="I6" s="5">
        <v>0</v>
      </c>
      <c r="J6" s="5">
        <v>3907015.9</v>
      </c>
    </row>
    <row r="7" spans="1:11" ht="165" customHeight="1" x14ac:dyDescent="0.35">
      <c r="A7" s="7">
        <v>4</v>
      </c>
      <c r="B7" s="8" t="s">
        <v>24</v>
      </c>
      <c r="C7" s="1" t="s">
        <v>23</v>
      </c>
      <c r="D7" s="5">
        <v>0</v>
      </c>
      <c r="E7" s="5">
        <v>3452429.36</v>
      </c>
      <c r="F7" s="5">
        <v>514953.88</v>
      </c>
      <c r="G7" s="5">
        <v>0</v>
      </c>
      <c r="H7" s="5">
        <v>61840</v>
      </c>
      <c r="I7" s="5">
        <v>0</v>
      </c>
      <c r="J7" s="5">
        <v>4029223.25</v>
      </c>
    </row>
    <row r="8" spans="1:11" ht="165" hidden="1" customHeight="1" x14ac:dyDescent="0.35">
      <c r="C8" s="2" t="s">
        <v>21</v>
      </c>
      <c r="D8" s="6">
        <v>0</v>
      </c>
      <c r="E8" s="6">
        <v>3440078.95</v>
      </c>
      <c r="F8" s="6">
        <v>514953.88</v>
      </c>
      <c r="G8" s="6">
        <v>0</v>
      </c>
      <c r="H8" s="6">
        <v>61840</v>
      </c>
      <c r="I8" s="6">
        <v>0</v>
      </c>
      <c r="J8" s="6">
        <v>4016872.84</v>
      </c>
    </row>
    <row r="9" spans="1:11" ht="165" hidden="1" customHeight="1" x14ac:dyDescent="0.35">
      <c r="C9" s="2" t="s">
        <v>11</v>
      </c>
      <c r="D9" s="6">
        <v>0</v>
      </c>
      <c r="E9" s="6">
        <v>3549736</v>
      </c>
      <c r="F9" s="6">
        <v>606755.37</v>
      </c>
      <c r="G9" s="6">
        <v>0</v>
      </c>
      <c r="H9" s="6">
        <v>61840</v>
      </c>
      <c r="I9" s="6">
        <v>0</v>
      </c>
      <c r="J9" s="6">
        <v>4218331.37</v>
      </c>
    </row>
    <row r="10" spans="1:11" ht="165" hidden="1" customHeight="1" x14ac:dyDescent="0.35">
      <c r="C10" s="2" t="s">
        <v>12</v>
      </c>
      <c r="D10" s="6">
        <v>0</v>
      </c>
      <c r="E10" s="6">
        <v>3549736</v>
      </c>
      <c r="F10" s="6">
        <v>606755.37</v>
      </c>
      <c r="G10" s="6">
        <v>0</v>
      </c>
      <c r="H10" s="6">
        <v>61840</v>
      </c>
      <c r="I10" s="6">
        <v>0</v>
      </c>
      <c r="J10" s="6">
        <v>4218331.37</v>
      </c>
    </row>
    <row r="11" spans="1:11" ht="174" x14ac:dyDescent="0.35">
      <c r="A11" s="7">
        <v>5</v>
      </c>
      <c r="B11" s="8" t="s">
        <v>26</v>
      </c>
      <c r="C11" s="1" t="s">
        <v>25</v>
      </c>
      <c r="D11" s="5">
        <v>0</v>
      </c>
      <c r="E11" s="5">
        <v>3965848.23</v>
      </c>
      <c r="F11" s="5">
        <v>550301.39</v>
      </c>
      <c r="G11" s="5">
        <v>0</v>
      </c>
      <c r="H11" s="5">
        <v>0</v>
      </c>
      <c r="I11" s="5">
        <v>0</v>
      </c>
      <c r="J11" s="5">
        <v>4516149.62</v>
      </c>
    </row>
    <row r="12" spans="1:11" ht="174" x14ac:dyDescent="0.35">
      <c r="A12" s="7">
        <v>6</v>
      </c>
      <c r="B12" s="8" t="s">
        <v>28</v>
      </c>
      <c r="C12" s="1" t="s">
        <v>27</v>
      </c>
      <c r="D12" s="5">
        <v>0</v>
      </c>
      <c r="E12" s="5">
        <v>3752693.66</v>
      </c>
      <c r="F12" s="5">
        <v>551968.11</v>
      </c>
      <c r="G12" s="5">
        <v>0</v>
      </c>
      <c r="H12" s="5">
        <v>0</v>
      </c>
      <c r="I12" s="5">
        <v>0</v>
      </c>
      <c r="J12" s="5">
        <v>4304661.7699999996</v>
      </c>
    </row>
    <row r="13" spans="1:11" ht="174" x14ac:dyDescent="0.35">
      <c r="A13" s="39"/>
      <c r="B13" s="40" t="s">
        <v>28</v>
      </c>
      <c r="C13" s="41"/>
      <c r="D13" s="42">
        <v>0</v>
      </c>
      <c r="E13" s="42">
        <v>3452429.36</v>
      </c>
      <c r="F13" s="42">
        <v>514953.88</v>
      </c>
      <c r="G13" s="42">
        <v>0</v>
      </c>
      <c r="H13" s="42">
        <v>61840</v>
      </c>
      <c r="I13" s="42">
        <v>0</v>
      </c>
      <c r="J13" s="42">
        <v>4029223.25</v>
      </c>
    </row>
    <row r="14" spans="1:11" ht="165" hidden="1" customHeight="1" x14ac:dyDescent="0.35">
      <c r="A14" s="7">
        <v>8</v>
      </c>
      <c r="C14" s="2" t="s">
        <v>13</v>
      </c>
      <c r="D14" s="6">
        <v>0</v>
      </c>
      <c r="E14" s="6">
        <v>3695939.34</v>
      </c>
      <c r="F14" s="6">
        <v>606755.37</v>
      </c>
      <c r="G14" s="6">
        <v>0</v>
      </c>
      <c r="H14" s="6">
        <v>61840</v>
      </c>
      <c r="I14" s="6">
        <v>0</v>
      </c>
      <c r="J14" s="6">
        <v>4364534.71</v>
      </c>
    </row>
    <row r="15" spans="1:11" ht="165" hidden="1" customHeight="1" x14ac:dyDescent="0.35">
      <c r="A15" s="7">
        <v>9</v>
      </c>
      <c r="C15" s="50" t="s">
        <v>14</v>
      </c>
      <c r="D15" s="51">
        <v>0</v>
      </c>
      <c r="E15" s="51">
        <v>3906762.6</v>
      </c>
      <c r="F15" s="51">
        <v>641975.75</v>
      </c>
      <c r="G15" s="51">
        <v>0</v>
      </c>
      <c r="H15" s="51">
        <v>0</v>
      </c>
      <c r="I15" s="51">
        <v>0</v>
      </c>
      <c r="J15" s="51">
        <v>4548738.3499999996</v>
      </c>
    </row>
    <row r="16" spans="1:11" ht="174" x14ac:dyDescent="0.35">
      <c r="A16" s="52">
        <v>7</v>
      </c>
      <c r="B16" s="53" t="s">
        <v>128</v>
      </c>
      <c r="C16" s="1" t="s">
        <v>124</v>
      </c>
      <c r="D16" s="54">
        <v>0</v>
      </c>
      <c r="E16" s="54">
        <v>3506627.95</v>
      </c>
      <c r="F16" s="54">
        <v>507544.53</v>
      </c>
      <c r="G16" s="54">
        <v>0</v>
      </c>
      <c r="H16" s="54">
        <v>5712</v>
      </c>
      <c r="I16" s="54"/>
      <c r="J16" s="54">
        <v>4019884.49</v>
      </c>
    </row>
    <row r="17" spans="2:10" ht="203" x14ac:dyDescent="0.35">
      <c r="B17" s="53" t="s">
        <v>152</v>
      </c>
      <c r="D17">
        <v>0</v>
      </c>
      <c r="E17">
        <v>3226209.5</v>
      </c>
      <c r="F17">
        <v>487589.45</v>
      </c>
      <c r="G17">
        <v>0</v>
      </c>
      <c r="H17">
        <v>2592</v>
      </c>
      <c r="I17">
        <v>0</v>
      </c>
      <c r="J17">
        <v>3716390.94</v>
      </c>
    </row>
    <row r="18" spans="2:10" ht="188.5" x14ac:dyDescent="0.35">
      <c r="B18" s="53" t="s">
        <v>153</v>
      </c>
      <c r="D18">
        <v>0</v>
      </c>
      <c r="E18">
        <v>3230864.38</v>
      </c>
      <c r="F18">
        <v>487589.45</v>
      </c>
      <c r="G18">
        <v>0</v>
      </c>
      <c r="H18">
        <v>2592</v>
      </c>
      <c r="I18">
        <v>0</v>
      </c>
      <c r="J18">
        <v>3721045.82</v>
      </c>
    </row>
  </sheetData>
  <mergeCells count="6">
    <mergeCell ref="J1:J2"/>
    <mergeCell ref="A1:A2"/>
    <mergeCell ref="B1:C1"/>
    <mergeCell ref="D1:G1"/>
    <mergeCell ref="H1:H2"/>
    <mergeCell ref="I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B0D7-454D-41DF-8A0E-A85AF54D8A2B}">
  <dimension ref="A1:EO170"/>
  <sheetViews>
    <sheetView tabSelected="1" topLeftCell="BX127" zoomScale="55" zoomScaleNormal="55" workbookViewId="0">
      <selection activeCell="BO158" sqref="BO158:CN169"/>
    </sheetView>
  </sheetViews>
  <sheetFormatPr defaultRowHeight="14.5" x14ac:dyDescent="0.35"/>
  <cols>
    <col min="1" max="1" width="10.6328125" customWidth="1"/>
    <col min="2" max="2" width="9.6328125" customWidth="1"/>
    <col min="3" max="3" width="12.6328125" customWidth="1"/>
    <col min="5" max="5" width="6.6328125" customWidth="1"/>
    <col min="6" max="29" width="3.6328125" customWidth="1"/>
    <col min="30" max="30" width="25.36328125" bestFit="1" customWidth="1"/>
    <col min="31" max="31" width="6.6328125" customWidth="1"/>
    <col min="32" max="56" width="8.6328125" customWidth="1"/>
    <col min="58" max="58" width="6.6328125" customWidth="1"/>
    <col min="59" max="59" width="8.6328125" customWidth="1"/>
    <col min="60" max="60" width="2.6328125" customWidth="1"/>
    <col min="61" max="62" width="8.6328125" customWidth="1"/>
    <col min="63" max="63" width="2.6328125" customWidth="1"/>
    <col min="64" max="65" width="8.6328125" customWidth="1"/>
    <col min="67" max="67" width="6.6328125" customWidth="1"/>
    <col min="68" max="92" width="8.6328125" customWidth="1"/>
    <col min="94" max="94" width="6.6328125" customWidth="1"/>
    <col min="95" max="119" width="8.6328125" customWidth="1"/>
    <col min="121" max="121" width="9" bestFit="1" customWidth="1"/>
    <col min="122" max="145" width="8.6328125" customWidth="1"/>
  </cols>
  <sheetData>
    <row r="1" spans="1:119" x14ac:dyDescent="0.35">
      <c r="A1" s="23" t="s">
        <v>31</v>
      </c>
    </row>
    <row r="2" spans="1:119" x14ac:dyDescent="0.35">
      <c r="A2" s="23" t="s">
        <v>32</v>
      </c>
    </row>
    <row r="4" spans="1:119" x14ac:dyDescent="0.35">
      <c r="A4" t="s">
        <v>51</v>
      </c>
      <c r="E4" t="s">
        <v>33</v>
      </c>
      <c r="AE4" t="s">
        <v>45</v>
      </c>
      <c r="BF4" t="s">
        <v>48</v>
      </c>
      <c r="BO4" t="s">
        <v>46</v>
      </c>
      <c r="CP4" t="s">
        <v>47</v>
      </c>
    </row>
    <row r="5" spans="1:119" x14ac:dyDescent="0.35">
      <c r="A5" s="72" t="s">
        <v>1</v>
      </c>
      <c r="B5" s="24" t="s">
        <v>5</v>
      </c>
      <c r="C5" s="6">
        <v>0</v>
      </c>
      <c r="E5" s="66" t="s">
        <v>44</v>
      </c>
      <c r="F5" s="66" t="s">
        <v>22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E5" s="62" t="s">
        <v>44</v>
      </c>
      <c r="AF5" s="63"/>
      <c r="AG5" s="66" t="s">
        <v>22</v>
      </c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F5" s="11" t="s">
        <v>22</v>
      </c>
      <c r="BG5" s="11" t="s">
        <v>49</v>
      </c>
      <c r="BH5" s="17"/>
      <c r="BI5" s="11" t="s">
        <v>22</v>
      </c>
      <c r="BJ5" s="11" t="s">
        <v>49</v>
      </c>
      <c r="BK5" s="17"/>
      <c r="BL5" s="11" t="s">
        <v>22</v>
      </c>
      <c r="BM5" s="11" t="s">
        <v>49</v>
      </c>
      <c r="BO5" s="66" t="s">
        <v>44</v>
      </c>
      <c r="BP5" s="11"/>
      <c r="BQ5" s="66" t="s">
        <v>22</v>
      </c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P5" s="66" t="s">
        <v>44</v>
      </c>
      <c r="CQ5" s="11"/>
      <c r="CR5" s="66" t="s">
        <v>22</v>
      </c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</row>
    <row r="6" spans="1:119" x14ac:dyDescent="0.35">
      <c r="A6" s="73"/>
      <c r="B6" s="24" t="s">
        <v>6</v>
      </c>
      <c r="C6" s="6">
        <v>3444016.23</v>
      </c>
      <c r="E6" s="66"/>
      <c r="F6" s="12">
        <v>1</v>
      </c>
      <c r="G6" s="12">
        <v>2</v>
      </c>
      <c r="H6" s="12">
        <v>3</v>
      </c>
      <c r="I6" s="12">
        <v>4</v>
      </c>
      <c r="J6" s="12">
        <v>5</v>
      </c>
      <c r="K6" s="12">
        <v>6</v>
      </c>
      <c r="L6" s="12">
        <v>7</v>
      </c>
      <c r="M6" s="12">
        <v>8</v>
      </c>
      <c r="N6" s="12">
        <v>9</v>
      </c>
      <c r="O6" s="12">
        <v>10</v>
      </c>
      <c r="P6" s="12">
        <v>11</v>
      </c>
      <c r="Q6" s="12">
        <v>12</v>
      </c>
      <c r="R6" s="12">
        <v>13</v>
      </c>
      <c r="S6" s="12">
        <v>14</v>
      </c>
      <c r="T6" s="12">
        <v>15</v>
      </c>
      <c r="U6" s="12">
        <v>16</v>
      </c>
      <c r="V6" s="12">
        <v>17</v>
      </c>
      <c r="W6" s="12">
        <v>18</v>
      </c>
      <c r="X6" s="12">
        <v>19</v>
      </c>
      <c r="Y6" s="12">
        <v>20</v>
      </c>
      <c r="Z6" s="12">
        <v>21</v>
      </c>
      <c r="AA6" s="12">
        <v>22</v>
      </c>
      <c r="AB6" s="12">
        <v>23</v>
      </c>
      <c r="AC6" s="12">
        <v>24</v>
      </c>
      <c r="AE6" s="64"/>
      <c r="AF6" s="65"/>
      <c r="AG6" s="14">
        <v>1</v>
      </c>
      <c r="AH6" s="14">
        <v>2</v>
      </c>
      <c r="AI6" s="14">
        <v>3</v>
      </c>
      <c r="AJ6" s="14">
        <v>4</v>
      </c>
      <c r="AK6" s="14">
        <v>5</v>
      </c>
      <c r="AL6" s="14">
        <v>6</v>
      </c>
      <c r="AM6" s="14">
        <v>7</v>
      </c>
      <c r="AN6" s="14">
        <v>8</v>
      </c>
      <c r="AO6" s="14">
        <v>9</v>
      </c>
      <c r="AP6" s="14">
        <v>10</v>
      </c>
      <c r="AQ6" s="14">
        <v>11</v>
      </c>
      <c r="AR6" s="14">
        <v>12</v>
      </c>
      <c r="AS6" s="14">
        <v>13</v>
      </c>
      <c r="AT6" s="14">
        <v>14</v>
      </c>
      <c r="AU6" s="14">
        <v>15</v>
      </c>
      <c r="AV6" s="14">
        <v>16</v>
      </c>
      <c r="AW6" s="14">
        <v>17</v>
      </c>
      <c r="AX6" s="14">
        <v>18</v>
      </c>
      <c r="AY6" s="14">
        <v>19</v>
      </c>
      <c r="AZ6" s="14">
        <v>20</v>
      </c>
      <c r="BA6" s="14">
        <v>21</v>
      </c>
      <c r="BB6" s="14">
        <v>22</v>
      </c>
      <c r="BC6" s="14">
        <v>23</v>
      </c>
      <c r="BD6" s="14">
        <v>24</v>
      </c>
      <c r="BF6" s="11">
        <v>1</v>
      </c>
      <c r="BG6" s="22">
        <v>505.49999999999994</v>
      </c>
      <c r="BH6" s="18"/>
      <c r="BI6" s="14">
        <v>11</v>
      </c>
      <c r="BJ6" s="22">
        <v>518.46</v>
      </c>
      <c r="BK6" s="18"/>
      <c r="BL6" s="14">
        <v>21</v>
      </c>
      <c r="BM6" s="22">
        <v>534.06000000000006</v>
      </c>
      <c r="BO6" s="66"/>
      <c r="BP6" s="11"/>
      <c r="BQ6" s="14">
        <v>1</v>
      </c>
      <c r="BR6" s="14">
        <v>2</v>
      </c>
      <c r="BS6" s="14">
        <v>3</v>
      </c>
      <c r="BT6" s="14">
        <v>4</v>
      </c>
      <c r="BU6" s="14">
        <v>5</v>
      </c>
      <c r="BV6" s="14">
        <v>6</v>
      </c>
      <c r="BW6" s="14">
        <v>7</v>
      </c>
      <c r="BX6" s="14">
        <v>8</v>
      </c>
      <c r="BY6" s="14">
        <v>9</v>
      </c>
      <c r="BZ6" s="14">
        <v>10</v>
      </c>
      <c r="CA6" s="14">
        <v>11</v>
      </c>
      <c r="CB6" s="14">
        <v>12</v>
      </c>
      <c r="CC6" s="14">
        <v>13</v>
      </c>
      <c r="CD6" s="14">
        <v>14</v>
      </c>
      <c r="CE6" s="14">
        <v>15</v>
      </c>
      <c r="CF6" s="14">
        <v>16</v>
      </c>
      <c r="CG6" s="14">
        <v>17</v>
      </c>
      <c r="CH6" s="14">
        <v>18</v>
      </c>
      <c r="CI6" s="14">
        <v>19</v>
      </c>
      <c r="CJ6" s="14">
        <v>20</v>
      </c>
      <c r="CK6" s="14">
        <v>21</v>
      </c>
      <c r="CL6" s="14">
        <v>22</v>
      </c>
      <c r="CM6" s="14">
        <v>23</v>
      </c>
      <c r="CN6" s="14">
        <v>24</v>
      </c>
      <c r="CP6" s="66"/>
      <c r="CQ6" s="11"/>
      <c r="CR6" s="14">
        <v>1</v>
      </c>
      <c r="CS6" s="14">
        <v>2</v>
      </c>
      <c r="CT6" s="14">
        <v>3</v>
      </c>
      <c r="CU6" s="14">
        <v>4</v>
      </c>
      <c r="CV6" s="14">
        <v>5</v>
      </c>
      <c r="CW6" s="14">
        <v>6</v>
      </c>
      <c r="CX6" s="14">
        <v>7</v>
      </c>
      <c r="CY6" s="14">
        <v>8</v>
      </c>
      <c r="CZ6" s="14">
        <v>9</v>
      </c>
      <c r="DA6" s="14">
        <v>10</v>
      </c>
      <c r="DB6" s="14">
        <v>11</v>
      </c>
      <c r="DC6" s="14">
        <v>12</v>
      </c>
      <c r="DD6" s="14">
        <v>13</v>
      </c>
      <c r="DE6" s="14">
        <v>14</v>
      </c>
      <c r="DF6" s="14">
        <v>15</v>
      </c>
      <c r="DG6" s="14">
        <v>16</v>
      </c>
      <c r="DH6" s="14">
        <v>17</v>
      </c>
      <c r="DI6" s="14">
        <v>18</v>
      </c>
      <c r="DJ6" s="14">
        <v>19</v>
      </c>
      <c r="DK6" s="14">
        <v>20</v>
      </c>
      <c r="DL6" s="14">
        <v>21</v>
      </c>
      <c r="DM6" s="14">
        <v>22</v>
      </c>
      <c r="DN6" s="14">
        <v>23</v>
      </c>
      <c r="DO6" s="14">
        <v>24</v>
      </c>
    </row>
    <row r="7" spans="1:119" x14ac:dyDescent="0.35">
      <c r="A7" s="73"/>
      <c r="B7" s="24" t="s">
        <v>7</v>
      </c>
      <c r="C7" s="6">
        <v>411849.85</v>
      </c>
      <c r="E7" s="13" t="s">
        <v>34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E7" s="13" t="s">
        <v>34</v>
      </c>
      <c r="AF7" s="13" t="s">
        <v>60</v>
      </c>
      <c r="AG7" s="15">
        <v>1176</v>
      </c>
      <c r="AH7" s="15">
        <v>1176</v>
      </c>
      <c r="AI7" s="15">
        <v>1176</v>
      </c>
      <c r="AJ7" s="15">
        <v>1176</v>
      </c>
      <c r="AK7" s="15">
        <v>1080.3833712250575</v>
      </c>
      <c r="AL7" s="15">
        <v>1176</v>
      </c>
      <c r="AM7" s="15">
        <v>1176</v>
      </c>
      <c r="AN7" s="15">
        <v>1176</v>
      </c>
      <c r="AO7" s="15">
        <v>1176</v>
      </c>
      <c r="AP7" s="15">
        <v>1176</v>
      </c>
      <c r="AQ7" s="15">
        <v>1176</v>
      </c>
      <c r="AR7" s="15">
        <v>1176</v>
      </c>
      <c r="AS7" s="15">
        <v>1176</v>
      </c>
      <c r="AT7" s="15">
        <v>1176</v>
      </c>
      <c r="AU7" s="15">
        <v>1176</v>
      </c>
      <c r="AV7" s="15">
        <v>1176</v>
      </c>
      <c r="AW7" s="15">
        <v>1176</v>
      </c>
      <c r="AX7" s="15">
        <v>1176</v>
      </c>
      <c r="AY7" s="15">
        <v>1176</v>
      </c>
      <c r="AZ7" s="15">
        <v>1176</v>
      </c>
      <c r="BA7" s="15">
        <v>1176</v>
      </c>
      <c r="BB7" s="15">
        <v>1176</v>
      </c>
      <c r="BC7" s="15">
        <v>1176</v>
      </c>
      <c r="BD7" s="15">
        <v>1176</v>
      </c>
      <c r="BF7" s="16">
        <v>2</v>
      </c>
      <c r="BG7" s="22">
        <v>505.49999999999994</v>
      </c>
      <c r="BH7" s="19"/>
      <c r="BI7" s="14">
        <v>12</v>
      </c>
      <c r="BJ7" s="22">
        <v>518.46</v>
      </c>
      <c r="BK7" s="19"/>
      <c r="BL7" s="14">
        <v>22</v>
      </c>
      <c r="BM7" s="22">
        <v>518.46</v>
      </c>
      <c r="BO7" s="13" t="s">
        <v>34</v>
      </c>
      <c r="BP7" s="13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P7" s="13" t="s">
        <v>34</v>
      </c>
      <c r="CQ7" s="13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</row>
    <row r="8" spans="1:119" x14ac:dyDescent="0.35">
      <c r="A8" s="74"/>
      <c r="B8" s="24" t="s">
        <v>8</v>
      </c>
      <c r="C8" s="6">
        <v>0</v>
      </c>
      <c r="E8" s="13" t="s">
        <v>35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E8" s="13" t="s">
        <v>35</v>
      </c>
      <c r="AF8" s="13" t="s">
        <v>62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F8" s="16">
        <v>3</v>
      </c>
      <c r="BG8" s="22">
        <v>505.49999999999994</v>
      </c>
      <c r="BH8" s="19"/>
      <c r="BI8" s="14">
        <v>13</v>
      </c>
      <c r="BJ8" s="22">
        <v>505.49999999999994</v>
      </c>
      <c r="BK8" s="19"/>
      <c r="BL8" s="14">
        <v>23</v>
      </c>
      <c r="BM8" s="22">
        <v>505.49999999999994</v>
      </c>
      <c r="BO8" s="13" t="s">
        <v>35</v>
      </c>
      <c r="BP8" s="13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P8" s="13" t="s">
        <v>35</v>
      </c>
      <c r="CQ8" s="13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</row>
    <row r="9" spans="1:119" x14ac:dyDescent="0.35">
      <c r="A9" s="68" t="s">
        <v>50</v>
      </c>
      <c r="B9" s="69"/>
      <c r="C9" s="6">
        <v>14016</v>
      </c>
      <c r="E9" s="13" t="s">
        <v>36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  <c r="S9" s="10">
        <v>1</v>
      </c>
      <c r="T9" s="10">
        <v>1</v>
      </c>
      <c r="U9" s="10">
        <v>1</v>
      </c>
      <c r="V9" s="10">
        <v>1</v>
      </c>
      <c r="W9" s="10">
        <v>1</v>
      </c>
      <c r="X9" s="10">
        <v>1</v>
      </c>
      <c r="Y9" s="10">
        <v>1</v>
      </c>
      <c r="Z9" s="10">
        <v>1</v>
      </c>
      <c r="AA9" s="10">
        <v>1</v>
      </c>
      <c r="AB9" s="10">
        <v>1</v>
      </c>
      <c r="AC9" s="10">
        <v>1</v>
      </c>
      <c r="AE9" s="13" t="s">
        <v>36</v>
      </c>
      <c r="AF9" s="13" t="s">
        <v>63</v>
      </c>
      <c r="AG9" s="15">
        <v>969</v>
      </c>
      <c r="AH9" s="15">
        <v>969</v>
      </c>
      <c r="AI9" s="15">
        <v>969</v>
      </c>
      <c r="AJ9" s="15">
        <v>969</v>
      </c>
      <c r="AK9" s="15">
        <v>969</v>
      </c>
      <c r="AL9" s="15">
        <v>969</v>
      </c>
      <c r="AM9" s="15">
        <v>969</v>
      </c>
      <c r="AN9" s="15">
        <v>969</v>
      </c>
      <c r="AO9" s="15">
        <v>969</v>
      </c>
      <c r="AP9" s="15">
        <v>969</v>
      </c>
      <c r="AQ9" s="15">
        <v>969</v>
      </c>
      <c r="AR9" s="15">
        <v>969</v>
      </c>
      <c r="AS9" s="15">
        <v>969</v>
      </c>
      <c r="AT9" s="15">
        <v>969</v>
      </c>
      <c r="AU9" s="15">
        <v>969</v>
      </c>
      <c r="AV9" s="15">
        <v>969</v>
      </c>
      <c r="AW9" s="15">
        <v>969</v>
      </c>
      <c r="AX9" s="15">
        <v>969</v>
      </c>
      <c r="AY9" s="15">
        <v>969</v>
      </c>
      <c r="AZ9" s="15">
        <v>969</v>
      </c>
      <c r="BA9" s="15">
        <v>969</v>
      </c>
      <c r="BB9" s="15">
        <v>969</v>
      </c>
      <c r="BC9" s="15">
        <v>969</v>
      </c>
      <c r="BD9" s="15">
        <v>969</v>
      </c>
      <c r="BF9" s="16">
        <v>4</v>
      </c>
      <c r="BG9" s="22">
        <v>505.49999999999994</v>
      </c>
      <c r="BH9" s="19"/>
      <c r="BI9" s="14">
        <v>14</v>
      </c>
      <c r="BJ9" s="22">
        <v>518.46</v>
      </c>
      <c r="BK9" s="19"/>
      <c r="BL9" s="14">
        <v>24</v>
      </c>
      <c r="BM9" s="22">
        <v>505.49999999999994</v>
      </c>
      <c r="BO9" s="13" t="s">
        <v>36</v>
      </c>
      <c r="BP9" s="13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P9" s="13" t="s">
        <v>36</v>
      </c>
      <c r="CQ9" s="13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</row>
    <row r="10" spans="1:119" x14ac:dyDescent="0.35">
      <c r="A10" s="68" t="s">
        <v>3</v>
      </c>
      <c r="B10" s="69"/>
      <c r="C10" s="6">
        <v>0</v>
      </c>
      <c r="E10" s="13" t="s">
        <v>37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1</v>
      </c>
      <c r="V10" s="10">
        <v>1</v>
      </c>
      <c r="W10" s="10">
        <v>0</v>
      </c>
      <c r="X10" s="10">
        <v>0</v>
      </c>
      <c r="Y10" s="10">
        <v>1</v>
      </c>
      <c r="Z10" s="10">
        <v>1</v>
      </c>
      <c r="AA10" s="10">
        <v>0</v>
      </c>
      <c r="AB10" s="10">
        <v>0</v>
      </c>
      <c r="AC10" s="10">
        <v>0</v>
      </c>
      <c r="AE10" s="13" t="s">
        <v>37</v>
      </c>
      <c r="AF10" s="13" t="s">
        <v>64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91.427010782065736</v>
      </c>
      <c r="AV10" s="15">
        <v>112.58914377713882</v>
      </c>
      <c r="AW10" s="15">
        <v>85</v>
      </c>
      <c r="AX10" s="15">
        <v>0</v>
      </c>
      <c r="AY10" s="15">
        <v>0</v>
      </c>
      <c r="AZ10" s="15">
        <v>116.40000000000055</v>
      </c>
      <c r="BA10" s="15">
        <v>85</v>
      </c>
      <c r="BB10" s="15">
        <v>0</v>
      </c>
      <c r="BC10" s="15">
        <v>0</v>
      </c>
      <c r="BD10" s="15">
        <v>0</v>
      </c>
      <c r="BF10" s="16">
        <v>5</v>
      </c>
      <c r="BG10" s="22">
        <v>505.49999999999994</v>
      </c>
      <c r="BH10" s="19"/>
      <c r="BI10" s="14">
        <v>15</v>
      </c>
      <c r="BJ10" s="22">
        <v>534.06000000000006</v>
      </c>
      <c r="BK10" s="20"/>
      <c r="BL10" s="20"/>
      <c r="BM10" s="20"/>
      <c r="BO10" s="13" t="s">
        <v>37</v>
      </c>
      <c r="BP10" s="13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P10" s="13" t="s">
        <v>37</v>
      </c>
      <c r="CQ10" s="13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</row>
    <row r="11" spans="1:119" x14ac:dyDescent="0.35">
      <c r="A11" s="70" t="s">
        <v>4</v>
      </c>
      <c r="B11" s="71"/>
      <c r="C11" s="25">
        <f>SUM(C5:C10)</f>
        <v>3869882.08</v>
      </c>
      <c r="E11" s="13" t="s">
        <v>38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1</v>
      </c>
      <c r="R11" s="10">
        <v>0</v>
      </c>
      <c r="S11" s="10">
        <v>1</v>
      </c>
      <c r="T11" s="10">
        <v>1</v>
      </c>
      <c r="U11" s="10">
        <v>0</v>
      </c>
      <c r="V11" s="10">
        <v>0</v>
      </c>
      <c r="W11" s="10">
        <v>0</v>
      </c>
      <c r="X11" s="10">
        <v>1</v>
      </c>
      <c r="Y11" s="10">
        <v>1</v>
      </c>
      <c r="Z11" s="10">
        <v>1</v>
      </c>
      <c r="AA11" s="10">
        <v>1</v>
      </c>
      <c r="AB11" s="10">
        <v>0</v>
      </c>
      <c r="AC11" s="10">
        <v>0</v>
      </c>
      <c r="AE11" s="13" t="s">
        <v>38</v>
      </c>
      <c r="AF11" s="13" t="s">
        <v>65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66</v>
      </c>
      <c r="AR11" s="15">
        <v>82.115753524906722</v>
      </c>
      <c r="AS11" s="15">
        <v>0</v>
      </c>
      <c r="AT11" s="15">
        <v>66</v>
      </c>
      <c r="AU11" s="15">
        <v>66</v>
      </c>
      <c r="AV11" s="15">
        <v>0</v>
      </c>
      <c r="AW11" s="15">
        <v>0</v>
      </c>
      <c r="AX11" s="15">
        <v>0</v>
      </c>
      <c r="AY11" s="15">
        <v>66</v>
      </c>
      <c r="AZ11" s="15">
        <v>66</v>
      </c>
      <c r="BA11" s="15">
        <v>66</v>
      </c>
      <c r="BB11" s="15">
        <v>66</v>
      </c>
      <c r="BC11" s="15">
        <v>0</v>
      </c>
      <c r="BD11" s="15">
        <v>0</v>
      </c>
      <c r="BF11" s="16">
        <v>6</v>
      </c>
      <c r="BG11" s="22">
        <v>505.49999999999994</v>
      </c>
      <c r="BH11" s="19"/>
      <c r="BI11" s="14">
        <v>16</v>
      </c>
      <c r="BJ11" s="22">
        <v>521.1</v>
      </c>
      <c r="BK11" s="20"/>
      <c r="BL11" s="20"/>
      <c r="BM11" s="20"/>
      <c r="BO11" s="13" t="s">
        <v>38</v>
      </c>
      <c r="BP11" s="13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P11" s="13" t="s">
        <v>38</v>
      </c>
      <c r="CQ11" s="13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</row>
    <row r="12" spans="1:119" x14ac:dyDescent="0.35">
      <c r="E12" s="13" t="s">
        <v>39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  <c r="Q12" s="10">
        <v>1</v>
      </c>
      <c r="R12" s="10">
        <v>1</v>
      </c>
      <c r="S12" s="10">
        <v>1</v>
      </c>
      <c r="T12" s="10">
        <v>1</v>
      </c>
      <c r="U12" s="10">
        <v>1</v>
      </c>
      <c r="V12" s="10">
        <v>1</v>
      </c>
      <c r="W12" s="10">
        <v>1</v>
      </c>
      <c r="X12" s="10">
        <v>1</v>
      </c>
      <c r="Y12" s="10">
        <v>1</v>
      </c>
      <c r="Z12" s="10">
        <v>1</v>
      </c>
      <c r="AA12" s="10">
        <v>1</v>
      </c>
      <c r="AB12" s="10">
        <v>1</v>
      </c>
      <c r="AC12" s="10">
        <v>1</v>
      </c>
      <c r="AE12" s="13" t="s">
        <v>39</v>
      </c>
      <c r="AF12" s="13" t="s">
        <v>66</v>
      </c>
      <c r="AG12" s="15">
        <v>370.67683465873051</v>
      </c>
      <c r="AH12" s="15">
        <v>318.1684539200869</v>
      </c>
      <c r="AI12" s="15">
        <v>250</v>
      </c>
      <c r="AJ12" s="15">
        <v>250</v>
      </c>
      <c r="AK12" s="15">
        <v>250</v>
      </c>
      <c r="AL12" s="15">
        <v>356.52102258867217</v>
      </c>
      <c r="AM12" s="15">
        <v>418.06041079182341</v>
      </c>
      <c r="AN12" s="15">
        <v>369.69193735668614</v>
      </c>
      <c r="AO12" s="15">
        <v>676.45406059423294</v>
      </c>
      <c r="AP12" s="15">
        <v>992.07191296287328</v>
      </c>
      <c r="AQ12" s="15">
        <v>1059.9845596916621</v>
      </c>
      <c r="AR12" s="15">
        <v>1095</v>
      </c>
      <c r="AS12" s="15">
        <v>926.58458896423872</v>
      </c>
      <c r="AT12" s="15">
        <v>1034.8112523783966</v>
      </c>
      <c r="AU12" s="15">
        <v>1095</v>
      </c>
      <c r="AV12" s="15">
        <v>1095</v>
      </c>
      <c r="AW12" s="15">
        <v>1060.4488012879938</v>
      </c>
      <c r="AX12" s="15">
        <v>1045.5568444162564</v>
      </c>
      <c r="AY12" s="15">
        <v>1031.2722993608822</v>
      </c>
      <c r="AZ12" s="15">
        <v>1095</v>
      </c>
      <c r="BA12" s="15">
        <v>1074.6845450553747</v>
      </c>
      <c r="BB12" s="15">
        <v>1053.2989432599898</v>
      </c>
      <c r="BC12" s="15">
        <v>848.51895789627815</v>
      </c>
      <c r="BD12" s="15">
        <v>641.25650192711146</v>
      </c>
      <c r="BF12" s="16">
        <v>7</v>
      </c>
      <c r="BG12" s="22">
        <v>505.49999999999994</v>
      </c>
      <c r="BH12" s="19"/>
      <c r="BI12" s="14">
        <v>17</v>
      </c>
      <c r="BJ12" s="22">
        <v>521.1</v>
      </c>
      <c r="BK12" s="20"/>
      <c r="BL12" s="20"/>
      <c r="BM12" s="20"/>
      <c r="BO12" s="13" t="s">
        <v>39</v>
      </c>
      <c r="BP12" s="13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P12" s="13" t="s">
        <v>39</v>
      </c>
      <c r="CQ12" s="13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</row>
    <row r="13" spans="1:119" x14ac:dyDescent="0.35">
      <c r="E13" s="13" t="s">
        <v>40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E13" s="13" t="s">
        <v>40</v>
      </c>
      <c r="AF13" s="13" t="s">
        <v>67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F13" s="16">
        <v>8</v>
      </c>
      <c r="BG13" s="22">
        <v>505.49999999999994</v>
      </c>
      <c r="BH13" s="19"/>
      <c r="BI13" s="14">
        <v>18</v>
      </c>
      <c r="BJ13" s="22">
        <v>505.49999999999994</v>
      </c>
      <c r="BK13" s="20"/>
      <c r="BL13" s="20"/>
      <c r="BM13" s="20"/>
      <c r="BO13" s="13" t="s">
        <v>40</v>
      </c>
      <c r="BP13" s="13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P13" s="13" t="s">
        <v>40</v>
      </c>
      <c r="CQ13" s="13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</row>
    <row r="14" spans="1:119" x14ac:dyDescent="0.35">
      <c r="E14" s="13" t="s">
        <v>41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E14" s="13" t="s">
        <v>41</v>
      </c>
      <c r="AF14" s="13" t="s">
        <v>68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F14" s="16">
        <v>9</v>
      </c>
      <c r="BG14" s="22">
        <v>505.49999999999994</v>
      </c>
      <c r="BH14" s="19"/>
      <c r="BI14" s="14">
        <v>19</v>
      </c>
      <c r="BJ14" s="22">
        <v>518.46</v>
      </c>
      <c r="BK14" s="20"/>
      <c r="BL14" s="20"/>
      <c r="BM14" s="20"/>
      <c r="BO14" s="13" t="s">
        <v>41</v>
      </c>
      <c r="BP14" s="13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P14" s="13" t="s">
        <v>41</v>
      </c>
      <c r="CQ14" s="13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</row>
    <row r="15" spans="1:119" x14ac:dyDescent="0.35">
      <c r="E15" s="13" t="s">
        <v>42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  <c r="S15" s="10">
        <v>1</v>
      </c>
      <c r="T15" s="10">
        <v>1</v>
      </c>
      <c r="U15" s="10">
        <v>1</v>
      </c>
      <c r="V15" s="10">
        <v>1</v>
      </c>
      <c r="W15" s="10">
        <v>1</v>
      </c>
      <c r="X15" s="10">
        <v>1</v>
      </c>
      <c r="Y15" s="10">
        <v>1</v>
      </c>
      <c r="Z15" s="10">
        <v>1</v>
      </c>
      <c r="AA15" s="10">
        <v>1</v>
      </c>
      <c r="AB15" s="10">
        <v>1</v>
      </c>
      <c r="AC15" s="10">
        <v>1</v>
      </c>
      <c r="AE15" s="13" t="s">
        <v>42</v>
      </c>
      <c r="AF15" s="13" t="s">
        <v>61</v>
      </c>
      <c r="AG15" s="15">
        <v>870</v>
      </c>
      <c r="AH15" s="15">
        <v>870</v>
      </c>
      <c r="AI15" s="15">
        <v>854.20178562716501</v>
      </c>
      <c r="AJ15" s="15">
        <v>774.38337122505754</v>
      </c>
      <c r="AK15" s="15">
        <v>870</v>
      </c>
      <c r="AL15" s="15">
        <v>870</v>
      </c>
      <c r="AM15" s="15">
        <v>870</v>
      </c>
      <c r="AN15" s="15">
        <v>870</v>
      </c>
      <c r="AO15" s="15">
        <v>870</v>
      </c>
      <c r="AP15" s="15">
        <v>870</v>
      </c>
      <c r="AQ15" s="15">
        <v>870</v>
      </c>
      <c r="AR15" s="15">
        <v>870</v>
      </c>
      <c r="AS15" s="15">
        <v>870</v>
      </c>
      <c r="AT15" s="15">
        <v>870</v>
      </c>
      <c r="AU15" s="15">
        <v>870</v>
      </c>
      <c r="AV15" s="15">
        <v>870</v>
      </c>
      <c r="AW15" s="15">
        <v>870</v>
      </c>
      <c r="AX15" s="15">
        <v>870</v>
      </c>
      <c r="AY15" s="15">
        <v>870</v>
      </c>
      <c r="AZ15" s="15">
        <v>870</v>
      </c>
      <c r="BA15" s="15">
        <v>870</v>
      </c>
      <c r="BB15" s="15">
        <v>870</v>
      </c>
      <c r="BC15" s="15">
        <v>870</v>
      </c>
      <c r="BD15" s="15">
        <v>870</v>
      </c>
      <c r="BF15" s="16">
        <v>10</v>
      </c>
      <c r="BG15" s="22">
        <v>505.49999999999994</v>
      </c>
      <c r="BH15" s="19"/>
      <c r="BI15" s="14">
        <v>20</v>
      </c>
      <c r="BJ15" s="22">
        <v>534.06000000000006</v>
      </c>
      <c r="BK15" s="20"/>
      <c r="BL15" s="20"/>
      <c r="BM15" s="20"/>
      <c r="BO15" s="13" t="s">
        <v>42</v>
      </c>
      <c r="BP15" s="13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P15" s="13" t="s">
        <v>42</v>
      </c>
      <c r="CQ15" s="13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</row>
    <row r="16" spans="1:119" x14ac:dyDescent="0.35">
      <c r="E16" s="13" t="s">
        <v>43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0">
        <v>1</v>
      </c>
      <c r="P16" s="10">
        <v>1</v>
      </c>
      <c r="Q16" s="10">
        <v>1</v>
      </c>
      <c r="R16" s="10">
        <v>1</v>
      </c>
      <c r="S16" s="10">
        <v>1</v>
      </c>
      <c r="T16" s="10">
        <v>1</v>
      </c>
      <c r="U16" s="10">
        <v>1</v>
      </c>
      <c r="V16" s="10">
        <v>1</v>
      </c>
      <c r="W16" s="10">
        <v>1</v>
      </c>
      <c r="X16" s="10">
        <v>1</v>
      </c>
      <c r="Y16" s="10">
        <v>1</v>
      </c>
      <c r="Z16" s="10">
        <v>1</v>
      </c>
      <c r="AA16" s="10">
        <v>1</v>
      </c>
      <c r="AB16" s="10">
        <v>1</v>
      </c>
      <c r="AC16" s="10">
        <v>1</v>
      </c>
      <c r="AE16" s="13" t="s">
        <v>43</v>
      </c>
      <c r="AF16" s="13" t="s">
        <v>69</v>
      </c>
      <c r="AG16" s="15">
        <v>840</v>
      </c>
      <c r="AH16" s="15">
        <v>840</v>
      </c>
      <c r="AI16" s="15">
        <v>840</v>
      </c>
      <c r="AJ16" s="15">
        <v>840</v>
      </c>
      <c r="AK16" s="15">
        <v>840</v>
      </c>
      <c r="AL16" s="15">
        <v>840</v>
      </c>
      <c r="AM16" s="15">
        <v>840</v>
      </c>
      <c r="AN16" s="15">
        <v>840</v>
      </c>
      <c r="AO16" s="15">
        <v>840</v>
      </c>
      <c r="AP16" s="15">
        <v>840</v>
      </c>
      <c r="AQ16" s="15">
        <v>840</v>
      </c>
      <c r="AR16" s="15">
        <v>840</v>
      </c>
      <c r="AS16" s="15">
        <v>840</v>
      </c>
      <c r="AT16" s="15">
        <v>840</v>
      </c>
      <c r="AU16" s="15">
        <v>840</v>
      </c>
      <c r="AV16" s="15">
        <v>840</v>
      </c>
      <c r="AW16" s="15">
        <v>840</v>
      </c>
      <c r="AX16" s="15">
        <v>840</v>
      </c>
      <c r="AY16" s="15">
        <v>840</v>
      </c>
      <c r="AZ16" s="15">
        <v>840</v>
      </c>
      <c r="BA16" s="15">
        <v>840</v>
      </c>
      <c r="BB16" s="15">
        <v>840</v>
      </c>
      <c r="BC16" s="15">
        <v>840</v>
      </c>
      <c r="BD16" s="15">
        <v>840</v>
      </c>
      <c r="BF16" s="21"/>
      <c r="BH16" s="20"/>
      <c r="BI16" s="20"/>
      <c r="BK16" s="20"/>
      <c r="BL16" s="20"/>
      <c r="BM16" s="20"/>
      <c r="BO16" s="13" t="s">
        <v>43</v>
      </c>
      <c r="BP16" s="13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P16" s="13" t="s">
        <v>43</v>
      </c>
      <c r="CQ16" s="13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</row>
    <row r="19" spans="1:119" x14ac:dyDescent="0.35">
      <c r="A19" s="23" t="s">
        <v>52</v>
      </c>
    </row>
    <row r="20" spans="1:119" x14ac:dyDescent="0.35">
      <c r="A20" s="23" t="s">
        <v>53</v>
      </c>
    </row>
    <row r="22" spans="1:119" x14ac:dyDescent="0.35">
      <c r="A22" t="s">
        <v>51</v>
      </c>
      <c r="E22" t="s">
        <v>33</v>
      </c>
      <c r="AE22" t="s">
        <v>45</v>
      </c>
      <c r="BF22" t="s">
        <v>48</v>
      </c>
      <c r="BO22" t="s">
        <v>46</v>
      </c>
      <c r="CP22" t="s">
        <v>47</v>
      </c>
    </row>
    <row r="23" spans="1:119" x14ac:dyDescent="0.35">
      <c r="A23" s="72" t="s">
        <v>1</v>
      </c>
      <c r="B23" s="24" t="s">
        <v>5</v>
      </c>
      <c r="C23" s="6">
        <v>0</v>
      </c>
      <c r="E23" s="66" t="s">
        <v>44</v>
      </c>
      <c r="F23" s="66" t="s">
        <v>22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E23" s="62" t="s">
        <v>44</v>
      </c>
      <c r="AF23" s="63"/>
      <c r="AG23" s="66" t="s">
        <v>22</v>
      </c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F23" s="11" t="s">
        <v>22</v>
      </c>
      <c r="BG23" s="11" t="s">
        <v>49</v>
      </c>
      <c r="BH23" s="17"/>
      <c r="BI23" s="11" t="s">
        <v>22</v>
      </c>
      <c r="BJ23" s="11" t="s">
        <v>49</v>
      </c>
      <c r="BK23" s="17"/>
      <c r="BL23" s="11" t="s">
        <v>22</v>
      </c>
      <c r="BM23" s="11" t="s">
        <v>49</v>
      </c>
      <c r="BO23" s="66" t="s">
        <v>44</v>
      </c>
      <c r="BP23" s="11"/>
      <c r="BQ23" s="66" t="s">
        <v>22</v>
      </c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P23" s="66" t="s">
        <v>44</v>
      </c>
      <c r="CQ23" s="11"/>
      <c r="CR23" s="66" t="s">
        <v>22</v>
      </c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  <c r="DM23" s="66"/>
      <c r="DN23" s="66"/>
      <c r="DO23" s="66"/>
    </row>
    <row r="24" spans="1:119" x14ac:dyDescent="0.35">
      <c r="A24" s="73"/>
      <c r="B24" s="24" t="s">
        <v>6</v>
      </c>
      <c r="C24" s="6">
        <v>3454898.28</v>
      </c>
      <c r="E24" s="66"/>
      <c r="F24" s="12">
        <v>1</v>
      </c>
      <c r="G24" s="12">
        <v>2</v>
      </c>
      <c r="H24" s="12">
        <v>3</v>
      </c>
      <c r="I24" s="12">
        <v>4</v>
      </c>
      <c r="J24" s="12">
        <v>5</v>
      </c>
      <c r="K24" s="12">
        <v>6</v>
      </c>
      <c r="L24" s="12">
        <v>7</v>
      </c>
      <c r="M24" s="12">
        <v>8</v>
      </c>
      <c r="N24" s="12">
        <v>9</v>
      </c>
      <c r="O24" s="12">
        <v>10</v>
      </c>
      <c r="P24" s="12">
        <v>11</v>
      </c>
      <c r="Q24" s="12">
        <v>12</v>
      </c>
      <c r="R24" s="12">
        <v>13</v>
      </c>
      <c r="S24" s="12">
        <v>14</v>
      </c>
      <c r="T24" s="12">
        <v>15</v>
      </c>
      <c r="U24" s="12">
        <v>16</v>
      </c>
      <c r="V24" s="12">
        <v>17</v>
      </c>
      <c r="W24" s="12">
        <v>18</v>
      </c>
      <c r="X24" s="12">
        <v>19</v>
      </c>
      <c r="Y24" s="12">
        <v>20</v>
      </c>
      <c r="Z24" s="12">
        <v>21</v>
      </c>
      <c r="AA24" s="12">
        <v>22</v>
      </c>
      <c r="AB24" s="12">
        <v>23</v>
      </c>
      <c r="AC24" s="12">
        <v>24</v>
      </c>
      <c r="AE24" s="64"/>
      <c r="AF24" s="65"/>
      <c r="AG24" s="14">
        <v>1</v>
      </c>
      <c r="AH24" s="14">
        <v>2</v>
      </c>
      <c r="AI24" s="14">
        <v>3</v>
      </c>
      <c r="AJ24" s="14">
        <v>4</v>
      </c>
      <c r="AK24" s="14">
        <v>5</v>
      </c>
      <c r="AL24" s="14">
        <v>6</v>
      </c>
      <c r="AM24" s="14">
        <v>7</v>
      </c>
      <c r="AN24" s="14">
        <v>8</v>
      </c>
      <c r="AO24" s="14">
        <v>9</v>
      </c>
      <c r="AP24" s="14">
        <v>10</v>
      </c>
      <c r="AQ24" s="14">
        <v>11</v>
      </c>
      <c r="AR24" s="14">
        <v>12</v>
      </c>
      <c r="AS24" s="14">
        <v>13</v>
      </c>
      <c r="AT24" s="14">
        <v>14</v>
      </c>
      <c r="AU24" s="14">
        <v>15</v>
      </c>
      <c r="AV24" s="14">
        <v>16</v>
      </c>
      <c r="AW24" s="14">
        <v>17</v>
      </c>
      <c r="AX24" s="14">
        <v>18</v>
      </c>
      <c r="AY24" s="14">
        <v>19</v>
      </c>
      <c r="AZ24" s="14">
        <v>20</v>
      </c>
      <c r="BA24" s="14">
        <v>21</v>
      </c>
      <c r="BB24" s="14">
        <v>22</v>
      </c>
      <c r="BC24" s="14">
        <v>23</v>
      </c>
      <c r="BD24" s="14">
        <v>24</v>
      </c>
      <c r="BE24" s="9"/>
      <c r="BF24" s="11">
        <v>1</v>
      </c>
      <c r="BG24" s="22">
        <v>505.49999999999994</v>
      </c>
      <c r="BH24" s="18"/>
      <c r="BI24" s="14">
        <v>11</v>
      </c>
      <c r="BJ24" s="22">
        <v>521.1</v>
      </c>
      <c r="BK24" s="18"/>
      <c r="BL24" s="14">
        <v>21</v>
      </c>
      <c r="BM24" s="22">
        <v>534.06000000000006</v>
      </c>
      <c r="BO24" s="66"/>
      <c r="BP24" s="11"/>
      <c r="BQ24" s="14">
        <v>1</v>
      </c>
      <c r="BR24" s="14">
        <v>2</v>
      </c>
      <c r="BS24" s="14">
        <v>3</v>
      </c>
      <c r="BT24" s="14">
        <v>4</v>
      </c>
      <c r="BU24" s="14">
        <v>5</v>
      </c>
      <c r="BV24" s="14">
        <v>6</v>
      </c>
      <c r="BW24" s="14">
        <v>7</v>
      </c>
      <c r="BX24" s="14">
        <v>8</v>
      </c>
      <c r="BY24" s="14">
        <v>9</v>
      </c>
      <c r="BZ24" s="14">
        <v>10</v>
      </c>
      <c r="CA24" s="14">
        <v>11</v>
      </c>
      <c r="CB24" s="14">
        <v>12</v>
      </c>
      <c r="CC24" s="14">
        <v>13</v>
      </c>
      <c r="CD24" s="14">
        <v>14</v>
      </c>
      <c r="CE24" s="14">
        <v>15</v>
      </c>
      <c r="CF24" s="14">
        <v>16</v>
      </c>
      <c r="CG24" s="14">
        <v>17</v>
      </c>
      <c r="CH24" s="14">
        <v>18</v>
      </c>
      <c r="CI24" s="14">
        <v>19</v>
      </c>
      <c r="CJ24" s="14">
        <v>20</v>
      </c>
      <c r="CK24" s="14">
        <v>21</v>
      </c>
      <c r="CL24" s="14">
        <v>22</v>
      </c>
      <c r="CM24" s="14">
        <v>23</v>
      </c>
      <c r="CN24" s="14">
        <v>24</v>
      </c>
      <c r="CP24" s="66"/>
      <c r="CQ24" s="11"/>
      <c r="CR24" s="14">
        <v>1</v>
      </c>
      <c r="CS24" s="14">
        <v>2</v>
      </c>
      <c r="CT24" s="14">
        <v>3</v>
      </c>
      <c r="CU24" s="14">
        <v>4</v>
      </c>
      <c r="CV24" s="14">
        <v>5</v>
      </c>
      <c r="CW24" s="14">
        <v>6</v>
      </c>
      <c r="CX24" s="14">
        <v>7</v>
      </c>
      <c r="CY24" s="14">
        <v>8</v>
      </c>
      <c r="CZ24" s="14">
        <v>9</v>
      </c>
      <c r="DA24" s="14">
        <v>10</v>
      </c>
      <c r="DB24" s="14">
        <v>11</v>
      </c>
      <c r="DC24" s="14">
        <v>12</v>
      </c>
      <c r="DD24" s="14">
        <v>13</v>
      </c>
      <c r="DE24" s="14">
        <v>14</v>
      </c>
      <c r="DF24" s="14">
        <v>15</v>
      </c>
      <c r="DG24" s="14">
        <v>16</v>
      </c>
      <c r="DH24" s="14">
        <v>17</v>
      </c>
      <c r="DI24" s="14">
        <v>18</v>
      </c>
      <c r="DJ24" s="14">
        <v>19</v>
      </c>
      <c r="DK24" s="14">
        <v>20</v>
      </c>
      <c r="DL24" s="14">
        <v>21</v>
      </c>
      <c r="DM24" s="14">
        <v>22</v>
      </c>
      <c r="DN24" s="14">
        <v>23</v>
      </c>
      <c r="DO24" s="14">
        <v>24</v>
      </c>
    </row>
    <row r="25" spans="1:119" x14ac:dyDescent="0.35">
      <c r="A25" s="73"/>
      <c r="B25" s="24" t="s">
        <v>7</v>
      </c>
      <c r="C25" s="6">
        <v>418325.47</v>
      </c>
      <c r="E25" s="13" t="s">
        <v>34</v>
      </c>
      <c r="F25" s="10">
        <v>1</v>
      </c>
      <c r="G25" s="10">
        <v>1</v>
      </c>
      <c r="H25" s="10">
        <v>1</v>
      </c>
      <c r="I25" s="10">
        <v>1</v>
      </c>
      <c r="J25" s="10">
        <v>1</v>
      </c>
      <c r="K25" s="10">
        <v>1</v>
      </c>
      <c r="L25" s="10">
        <v>1</v>
      </c>
      <c r="M25" s="10">
        <v>1</v>
      </c>
      <c r="N25" s="10">
        <v>1</v>
      </c>
      <c r="O25" s="10">
        <v>1</v>
      </c>
      <c r="P25" s="10">
        <v>1</v>
      </c>
      <c r="Q25" s="10">
        <v>1</v>
      </c>
      <c r="R25" s="10">
        <v>1</v>
      </c>
      <c r="S25" s="10">
        <v>1</v>
      </c>
      <c r="T25" s="10">
        <v>1</v>
      </c>
      <c r="U25" s="10">
        <v>1</v>
      </c>
      <c r="V25" s="10">
        <v>1</v>
      </c>
      <c r="W25" s="10">
        <v>1</v>
      </c>
      <c r="X25" s="10">
        <v>1</v>
      </c>
      <c r="Y25" s="10">
        <v>1</v>
      </c>
      <c r="Z25" s="10">
        <v>1</v>
      </c>
      <c r="AA25" s="10">
        <v>1</v>
      </c>
      <c r="AB25" s="10">
        <v>1</v>
      </c>
      <c r="AC25" s="10">
        <v>1</v>
      </c>
      <c r="AE25" s="13" t="s">
        <v>34</v>
      </c>
      <c r="AF25" s="13" t="s">
        <v>60</v>
      </c>
      <c r="AG25" s="15">
        <v>1176</v>
      </c>
      <c r="AH25" s="15">
        <v>1176</v>
      </c>
      <c r="AI25" s="15">
        <v>1160.201785627165</v>
      </c>
      <c r="AJ25" s="15">
        <v>1080.3833712250575</v>
      </c>
      <c r="AK25" s="15">
        <v>1080.3833712250575</v>
      </c>
      <c r="AL25" s="15">
        <v>1176</v>
      </c>
      <c r="AM25" s="15">
        <v>1176</v>
      </c>
      <c r="AN25" s="15">
        <v>1176</v>
      </c>
      <c r="AO25" s="15">
        <v>1176</v>
      </c>
      <c r="AP25" s="15">
        <v>1176</v>
      </c>
      <c r="AQ25" s="15">
        <v>1176</v>
      </c>
      <c r="AR25" s="15">
        <v>1176</v>
      </c>
      <c r="AS25" s="15">
        <v>1176</v>
      </c>
      <c r="AT25" s="15">
        <v>1176</v>
      </c>
      <c r="AU25" s="15">
        <v>1176</v>
      </c>
      <c r="AV25" s="15">
        <v>1176</v>
      </c>
      <c r="AW25" s="15">
        <v>1176</v>
      </c>
      <c r="AX25" s="15">
        <v>1176</v>
      </c>
      <c r="AY25" s="15">
        <v>1176</v>
      </c>
      <c r="AZ25" s="15">
        <v>1176</v>
      </c>
      <c r="BA25" s="15">
        <v>1176</v>
      </c>
      <c r="BB25" s="15">
        <v>1176</v>
      </c>
      <c r="BC25" s="15">
        <v>1176</v>
      </c>
      <c r="BD25" s="15">
        <v>1176</v>
      </c>
      <c r="BE25" s="9"/>
      <c r="BF25" s="16">
        <v>2</v>
      </c>
      <c r="BG25" s="22">
        <v>505.49999999999994</v>
      </c>
      <c r="BH25" s="19"/>
      <c r="BI25" s="14">
        <v>12</v>
      </c>
      <c r="BJ25" s="22">
        <v>521.1</v>
      </c>
      <c r="BK25" s="19"/>
      <c r="BL25" s="14">
        <v>22</v>
      </c>
      <c r="BM25" s="22">
        <v>521.1</v>
      </c>
      <c r="BO25" s="13" t="s">
        <v>34</v>
      </c>
      <c r="BP25" s="13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P25" s="13" t="s">
        <v>34</v>
      </c>
      <c r="CQ25" s="13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</row>
    <row r="26" spans="1:119" x14ac:dyDescent="0.35">
      <c r="A26" s="74"/>
      <c r="B26" s="24" t="s">
        <v>8</v>
      </c>
      <c r="C26" s="6">
        <v>0</v>
      </c>
      <c r="E26" s="13" t="s">
        <v>35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E26" s="13" t="s">
        <v>35</v>
      </c>
      <c r="AF26" s="13" t="s">
        <v>62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9"/>
      <c r="BF26" s="16">
        <v>3</v>
      </c>
      <c r="BG26" s="22">
        <v>505.49999999999994</v>
      </c>
      <c r="BH26" s="19"/>
      <c r="BI26" s="14">
        <v>13</v>
      </c>
      <c r="BJ26" s="22">
        <v>521.1</v>
      </c>
      <c r="BK26" s="19"/>
      <c r="BL26" s="14">
        <v>23</v>
      </c>
      <c r="BM26" s="22">
        <v>505.49999999999994</v>
      </c>
      <c r="BO26" s="13" t="s">
        <v>35</v>
      </c>
      <c r="BP26" s="13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P26" s="13" t="s">
        <v>35</v>
      </c>
      <c r="CQ26" s="13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</row>
    <row r="27" spans="1:119" x14ac:dyDescent="0.35">
      <c r="A27" s="68" t="s">
        <v>50</v>
      </c>
      <c r="B27" s="69"/>
      <c r="C27" s="6">
        <v>8304</v>
      </c>
      <c r="E27" s="13" t="s">
        <v>36</v>
      </c>
      <c r="F27" s="10">
        <v>1</v>
      </c>
      <c r="G27" s="10">
        <v>1</v>
      </c>
      <c r="H27" s="10">
        <v>1</v>
      </c>
      <c r="I27" s="10">
        <v>1</v>
      </c>
      <c r="J27" s="10">
        <v>1</v>
      </c>
      <c r="K27" s="10">
        <v>1</v>
      </c>
      <c r="L27" s="10">
        <v>1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1</v>
      </c>
      <c r="S27" s="10">
        <v>1</v>
      </c>
      <c r="T27" s="10">
        <v>1</v>
      </c>
      <c r="U27" s="10">
        <v>1</v>
      </c>
      <c r="V27" s="10">
        <v>1</v>
      </c>
      <c r="W27" s="10">
        <v>1</v>
      </c>
      <c r="X27" s="10">
        <v>1</v>
      </c>
      <c r="Y27" s="10">
        <v>1</v>
      </c>
      <c r="Z27" s="10">
        <v>1</v>
      </c>
      <c r="AA27" s="10">
        <v>1</v>
      </c>
      <c r="AB27" s="10">
        <v>1</v>
      </c>
      <c r="AC27" s="10">
        <v>1</v>
      </c>
      <c r="AE27" s="13" t="s">
        <v>36</v>
      </c>
      <c r="AF27" s="13" t="s">
        <v>63</v>
      </c>
      <c r="AG27" s="15">
        <v>969</v>
      </c>
      <c r="AH27" s="15">
        <v>969</v>
      </c>
      <c r="AI27" s="15">
        <v>969</v>
      </c>
      <c r="AJ27" s="15">
        <v>969</v>
      </c>
      <c r="AK27" s="15">
        <v>969</v>
      </c>
      <c r="AL27" s="15">
        <v>969</v>
      </c>
      <c r="AM27" s="15">
        <v>969</v>
      </c>
      <c r="AN27" s="15">
        <v>969</v>
      </c>
      <c r="AO27" s="15">
        <v>969</v>
      </c>
      <c r="AP27" s="15">
        <v>969</v>
      </c>
      <c r="AQ27" s="15">
        <v>969</v>
      </c>
      <c r="AR27" s="15">
        <v>969</v>
      </c>
      <c r="AS27" s="15">
        <v>969</v>
      </c>
      <c r="AT27" s="15">
        <v>969</v>
      </c>
      <c r="AU27" s="15">
        <v>969</v>
      </c>
      <c r="AV27" s="15">
        <v>969</v>
      </c>
      <c r="AW27" s="15">
        <v>969</v>
      </c>
      <c r="AX27" s="15">
        <v>969</v>
      </c>
      <c r="AY27" s="15">
        <v>969</v>
      </c>
      <c r="AZ27" s="15">
        <v>969</v>
      </c>
      <c r="BA27" s="15">
        <v>969</v>
      </c>
      <c r="BB27" s="15">
        <v>969</v>
      </c>
      <c r="BC27" s="15">
        <v>969</v>
      </c>
      <c r="BD27" s="15">
        <v>969</v>
      </c>
      <c r="BE27" s="9"/>
      <c r="BF27" s="16">
        <v>4</v>
      </c>
      <c r="BG27" s="22">
        <v>505.49999999999994</v>
      </c>
      <c r="BH27" s="19"/>
      <c r="BI27" s="14">
        <v>14</v>
      </c>
      <c r="BJ27" s="22">
        <v>521.1</v>
      </c>
      <c r="BK27" s="19"/>
      <c r="BL27" s="14">
        <v>24</v>
      </c>
      <c r="BM27" s="22">
        <v>505.49999999999994</v>
      </c>
      <c r="BO27" s="13" t="s">
        <v>36</v>
      </c>
      <c r="BP27" s="13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P27" s="13" t="s">
        <v>36</v>
      </c>
      <c r="CQ27" s="13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</row>
    <row r="28" spans="1:119" x14ac:dyDescent="0.35">
      <c r="A28" s="68" t="s">
        <v>3</v>
      </c>
      <c r="B28" s="69"/>
      <c r="C28" s="6">
        <v>0</v>
      </c>
      <c r="E28" s="13" t="s">
        <v>37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>
        <v>1</v>
      </c>
      <c r="V28" s="10">
        <v>1</v>
      </c>
      <c r="W28" s="10">
        <v>1</v>
      </c>
      <c r="X28" s="10">
        <v>1</v>
      </c>
      <c r="Y28" s="10">
        <v>1</v>
      </c>
      <c r="Z28" s="10">
        <v>1</v>
      </c>
      <c r="AA28" s="10">
        <v>1</v>
      </c>
      <c r="AB28" s="10">
        <v>0</v>
      </c>
      <c r="AC28" s="10">
        <v>0</v>
      </c>
      <c r="AE28" s="13" t="s">
        <v>37</v>
      </c>
      <c r="AF28" s="13" t="s">
        <v>64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85</v>
      </c>
      <c r="AR28" s="15">
        <v>85</v>
      </c>
      <c r="AS28" s="15">
        <v>85</v>
      </c>
      <c r="AT28" s="15">
        <v>85</v>
      </c>
      <c r="AU28" s="15">
        <v>91.427010782065736</v>
      </c>
      <c r="AV28" s="15">
        <v>85</v>
      </c>
      <c r="AW28" s="15">
        <v>85</v>
      </c>
      <c r="AX28" s="15">
        <v>85</v>
      </c>
      <c r="AY28" s="15">
        <v>85</v>
      </c>
      <c r="AZ28" s="15">
        <v>85</v>
      </c>
      <c r="BA28" s="15">
        <v>85</v>
      </c>
      <c r="BB28" s="15">
        <v>85</v>
      </c>
      <c r="BC28" s="15">
        <v>0</v>
      </c>
      <c r="BD28" s="15">
        <v>0</v>
      </c>
      <c r="BE28" s="9"/>
      <c r="BF28" s="16">
        <v>5</v>
      </c>
      <c r="BG28" s="22">
        <v>505.49999999999994</v>
      </c>
      <c r="BH28" s="19"/>
      <c r="BI28" s="14">
        <v>15</v>
      </c>
      <c r="BJ28" s="22">
        <v>534.06000000000006</v>
      </c>
      <c r="BK28" s="20"/>
      <c r="BL28" s="20"/>
      <c r="BM28" s="20"/>
      <c r="BO28" s="13" t="s">
        <v>37</v>
      </c>
      <c r="BP28" s="13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P28" s="13" t="s">
        <v>37</v>
      </c>
      <c r="CQ28" s="13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</row>
    <row r="29" spans="1:119" x14ac:dyDescent="0.35">
      <c r="A29" s="70" t="s">
        <v>4</v>
      </c>
      <c r="B29" s="71"/>
      <c r="C29" s="25">
        <f>SUM(C23:C28)</f>
        <v>3881527.75</v>
      </c>
      <c r="E29" s="13" t="s">
        <v>38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1</v>
      </c>
      <c r="V29" s="10">
        <v>0</v>
      </c>
      <c r="W29" s="10">
        <v>0</v>
      </c>
      <c r="X29" s="10">
        <v>0</v>
      </c>
      <c r="Y29" s="10">
        <v>1</v>
      </c>
      <c r="Z29" s="10">
        <v>1</v>
      </c>
      <c r="AA29" s="10">
        <v>0</v>
      </c>
      <c r="AB29" s="10">
        <v>0</v>
      </c>
      <c r="AC29" s="10">
        <v>0</v>
      </c>
      <c r="AE29" s="13" t="s">
        <v>38</v>
      </c>
      <c r="AF29" s="13" t="s">
        <v>65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66</v>
      </c>
      <c r="AV29" s="15">
        <v>66</v>
      </c>
      <c r="AW29" s="15">
        <v>0</v>
      </c>
      <c r="AX29" s="15">
        <v>0</v>
      </c>
      <c r="AY29" s="15">
        <v>0</v>
      </c>
      <c r="AZ29" s="15">
        <v>97.400000000000546</v>
      </c>
      <c r="BA29" s="15">
        <v>66</v>
      </c>
      <c r="BB29" s="15">
        <v>0</v>
      </c>
      <c r="BC29" s="15">
        <v>0</v>
      </c>
      <c r="BD29" s="15">
        <v>0</v>
      </c>
      <c r="BE29" s="9"/>
      <c r="BF29" s="16">
        <v>6</v>
      </c>
      <c r="BG29" s="22">
        <v>505.49999999999994</v>
      </c>
      <c r="BH29" s="19"/>
      <c r="BI29" s="14">
        <v>16</v>
      </c>
      <c r="BJ29" s="22">
        <v>534.06000000000006</v>
      </c>
      <c r="BK29" s="20"/>
      <c r="BL29" s="20"/>
      <c r="BM29" s="20"/>
      <c r="BO29" s="13" t="s">
        <v>38</v>
      </c>
      <c r="BP29" s="13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P29" s="13" t="s">
        <v>38</v>
      </c>
      <c r="CQ29" s="13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</row>
    <row r="30" spans="1:119" x14ac:dyDescent="0.35">
      <c r="E30" s="13" t="s">
        <v>39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1</v>
      </c>
      <c r="L30" s="10">
        <v>1</v>
      </c>
      <c r="M30" s="10">
        <v>1</v>
      </c>
      <c r="N30" s="10">
        <v>1</v>
      </c>
      <c r="O30" s="10">
        <v>1</v>
      </c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E30" s="13" t="s">
        <v>39</v>
      </c>
      <c r="AF30" s="13" t="s">
        <v>66</v>
      </c>
      <c r="AG30" s="15">
        <v>370.67683465873051</v>
      </c>
      <c r="AH30" s="15">
        <v>318.1684539200869</v>
      </c>
      <c r="AI30" s="15">
        <v>250</v>
      </c>
      <c r="AJ30" s="15">
        <v>250</v>
      </c>
      <c r="AK30" s="15">
        <v>250</v>
      </c>
      <c r="AL30" s="15">
        <v>356.52102258867217</v>
      </c>
      <c r="AM30" s="15">
        <v>418.06041079182341</v>
      </c>
      <c r="AN30" s="15">
        <v>369.69193735668614</v>
      </c>
      <c r="AO30" s="15">
        <v>676.45406059423294</v>
      </c>
      <c r="AP30" s="15">
        <v>992.07191296287328</v>
      </c>
      <c r="AQ30" s="15">
        <v>1040.9845596916621</v>
      </c>
      <c r="AR30" s="15">
        <v>1092.1157535249067</v>
      </c>
      <c r="AS30" s="15">
        <v>841.58458896423872</v>
      </c>
      <c r="AT30" s="15">
        <v>1015.8112523783966</v>
      </c>
      <c r="AU30" s="15">
        <v>1095</v>
      </c>
      <c r="AV30" s="15">
        <v>1056.5891437771388</v>
      </c>
      <c r="AW30" s="15">
        <v>1060.4488012879938</v>
      </c>
      <c r="AX30" s="15">
        <v>960.55684441625635</v>
      </c>
      <c r="AY30" s="15">
        <v>1012.2722993608822</v>
      </c>
      <c r="AZ30" s="15">
        <v>1095</v>
      </c>
      <c r="BA30" s="15">
        <v>1074.6845450553747</v>
      </c>
      <c r="BB30" s="15">
        <v>1034.2989432599898</v>
      </c>
      <c r="BC30" s="15">
        <v>848.51895789627815</v>
      </c>
      <c r="BD30" s="15">
        <v>641.25650192711146</v>
      </c>
      <c r="BE30" s="9"/>
      <c r="BF30" s="16">
        <v>7</v>
      </c>
      <c r="BG30" s="22">
        <v>505.49999999999994</v>
      </c>
      <c r="BH30" s="19"/>
      <c r="BI30" s="14">
        <v>17</v>
      </c>
      <c r="BJ30" s="22">
        <v>521.1</v>
      </c>
      <c r="BK30" s="20"/>
      <c r="BL30" s="20"/>
      <c r="BM30" s="20"/>
      <c r="BO30" s="13" t="s">
        <v>39</v>
      </c>
      <c r="BP30" s="13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P30" s="13" t="s">
        <v>39</v>
      </c>
      <c r="CQ30" s="13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</row>
    <row r="31" spans="1:119" x14ac:dyDescent="0.35">
      <c r="E31" s="13" t="s">
        <v>40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E31" s="13" t="s">
        <v>40</v>
      </c>
      <c r="AF31" s="13" t="s">
        <v>67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9"/>
      <c r="BF31" s="16">
        <v>8</v>
      </c>
      <c r="BG31" s="22">
        <v>505.49999999999994</v>
      </c>
      <c r="BH31" s="19"/>
      <c r="BI31" s="14">
        <v>18</v>
      </c>
      <c r="BJ31" s="22">
        <v>521.1</v>
      </c>
      <c r="BK31" s="20"/>
      <c r="BL31" s="20"/>
      <c r="BM31" s="20"/>
      <c r="BO31" s="13" t="s">
        <v>40</v>
      </c>
      <c r="BP31" s="13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P31" s="13" t="s">
        <v>40</v>
      </c>
      <c r="CQ31" s="13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</row>
    <row r="32" spans="1:119" x14ac:dyDescent="0.35">
      <c r="E32" s="13" t="s">
        <v>41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E32" s="13" t="s">
        <v>41</v>
      </c>
      <c r="AF32" s="13" t="s">
        <v>68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9"/>
      <c r="BF32" s="16">
        <v>9</v>
      </c>
      <c r="BG32" s="22">
        <v>505.49999999999994</v>
      </c>
      <c r="BH32" s="19"/>
      <c r="BI32" s="14">
        <v>19</v>
      </c>
      <c r="BJ32" s="22">
        <v>521.1</v>
      </c>
      <c r="BK32" s="20"/>
      <c r="BL32" s="20"/>
      <c r="BM32" s="20"/>
      <c r="BO32" s="13" t="s">
        <v>41</v>
      </c>
      <c r="BP32" s="13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P32" s="13" t="s">
        <v>41</v>
      </c>
      <c r="CQ32" s="13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</row>
    <row r="33" spans="1:119" x14ac:dyDescent="0.35">
      <c r="E33" s="13" t="s">
        <v>42</v>
      </c>
      <c r="F33" s="10">
        <v>1</v>
      </c>
      <c r="G33" s="10">
        <v>1</v>
      </c>
      <c r="H33" s="10">
        <v>1</v>
      </c>
      <c r="I33" s="10">
        <v>1</v>
      </c>
      <c r="J33" s="10">
        <v>1</v>
      </c>
      <c r="K33" s="10">
        <v>1</v>
      </c>
      <c r="L33" s="10">
        <v>1</v>
      </c>
      <c r="M33" s="10">
        <v>1</v>
      </c>
      <c r="N33" s="10">
        <v>1</v>
      </c>
      <c r="O33" s="10">
        <v>1</v>
      </c>
      <c r="P33" s="10">
        <v>1</v>
      </c>
      <c r="Q33" s="10">
        <v>1</v>
      </c>
      <c r="R33" s="10">
        <v>1</v>
      </c>
      <c r="S33" s="10">
        <v>1</v>
      </c>
      <c r="T33" s="10">
        <v>1</v>
      </c>
      <c r="U33" s="10">
        <v>1</v>
      </c>
      <c r="V33" s="10">
        <v>1</v>
      </c>
      <c r="W33" s="10">
        <v>1</v>
      </c>
      <c r="X33" s="10">
        <v>1</v>
      </c>
      <c r="Y33" s="10">
        <v>1</v>
      </c>
      <c r="Z33" s="10">
        <v>1</v>
      </c>
      <c r="AA33" s="10">
        <v>1</v>
      </c>
      <c r="AB33" s="10">
        <v>1</v>
      </c>
      <c r="AC33" s="10">
        <v>1</v>
      </c>
      <c r="AE33" s="13" t="s">
        <v>42</v>
      </c>
      <c r="AF33" s="13" t="s">
        <v>61</v>
      </c>
      <c r="AG33" s="15">
        <v>870</v>
      </c>
      <c r="AH33" s="15">
        <v>870</v>
      </c>
      <c r="AI33" s="15">
        <v>870</v>
      </c>
      <c r="AJ33" s="15">
        <v>870</v>
      </c>
      <c r="AK33" s="15">
        <v>870</v>
      </c>
      <c r="AL33" s="15">
        <v>870</v>
      </c>
      <c r="AM33" s="15">
        <v>870</v>
      </c>
      <c r="AN33" s="15">
        <v>870</v>
      </c>
      <c r="AO33" s="15">
        <v>870</v>
      </c>
      <c r="AP33" s="15">
        <v>870</v>
      </c>
      <c r="AQ33" s="15">
        <v>870</v>
      </c>
      <c r="AR33" s="15">
        <v>870</v>
      </c>
      <c r="AS33" s="15">
        <v>870</v>
      </c>
      <c r="AT33" s="15">
        <v>870</v>
      </c>
      <c r="AU33" s="15">
        <v>870</v>
      </c>
      <c r="AV33" s="15">
        <v>870</v>
      </c>
      <c r="AW33" s="15">
        <v>870</v>
      </c>
      <c r="AX33" s="15">
        <v>870</v>
      </c>
      <c r="AY33" s="15">
        <v>870</v>
      </c>
      <c r="AZ33" s="15">
        <v>870</v>
      </c>
      <c r="BA33" s="15">
        <v>870</v>
      </c>
      <c r="BB33" s="15">
        <v>870</v>
      </c>
      <c r="BC33" s="15">
        <v>870</v>
      </c>
      <c r="BD33" s="15">
        <v>870</v>
      </c>
      <c r="BE33" s="9"/>
      <c r="BF33" s="16">
        <v>10</v>
      </c>
      <c r="BG33" s="22">
        <v>505.49999999999994</v>
      </c>
      <c r="BH33" s="19"/>
      <c r="BI33" s="14">
        <v>20</v>
      </c>
      <c r="BJ33" s="22">
        <v>534.06000000000006</v>
      </c>
      <c r="BK33" s="20"/>
      <c r="BL33" s="20"/>
      <c r="BM33" s="20"/>
      <c r="BO33" s="13" t="s">
        <v>42</v>
      </c>
      <c r="BP33" s="13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P33" s="13" t="s">
        <v>42</v>
      </c>
      <c r="CQ33" s="13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</row>
    <row r="34" spans="1:119" x14ac:dyDescent="0.35">
      <c r="E34" s="13" t="s">
        <v>43</v>
      </c>
      <c r="F34" s="10">
        <v>1</v>
      </c>
      <c r="G34" s="10">
        <v>1</v>
      </c>
      <c r="H34" s="10">
        <v>1</v>
      </c>
      <c r="I34" s="10">
        <v>1</v>
      </c>
      <c r="J34" s="10">
        <v>1</v>
      </c>
      <c r="K34" s="10">
        <v>1</v>
      </c>
      <c r="L34" s="10">
        <v>1</v>
      </c>
      <c r="M34" s="10">
        <v>1</v>
      </c>
      <c r="N34" s="10">
        <v>1</v>
      </c>
      <c r="O34" s="10">
        <v>1</v>
      </c>
      <c r="P34" s="10">
        <v>1</v>
      </c>
      <c r="Q34" s="10">
        <v>1</v>
      </c>
      <c r="R34" s="10">
        <v>1</v>
      </c>
      <c r="S34" s="10">
        <v>1</v>
      </c>
      <c r="T34" s="10">
        <v>1</v>
      </c>
      <c r="U34" s="10">
        <v>1</v>
      </c>
      <c r="V34" s="10">
        <v>1</v>
      </c>
      <c r="W34" s="10">
        <v>1</v>
      </c>
      <c r="X34" s="10">
        <v>1</v>
      </c>
      <c r="Y34" s="10">
        <v>1</v>
      </c>
      <c r="Z34" s="10">
        <v>1</v>
      </c>
      <c r="AA34" s="10">
        <v>1</v>
      </c>
      <c r="AB34" s="10">
        <v>1</v>
      </c>
      <c r="AC34" s="10">
        <v>1</v>
      </c>
      <c r="AE34" s="13" t="s">
        <v>43</v>
      </c>
      <c r="AF34" s="13" t="s">
        <v>69</v>
      </c>
      <c r="AG34" s="15">
        <v>840</v>
      </c>
      <c r="AH34" s="15">
        <v>840</v>
      </c>
      <c r="AI34" s="15">
        <v>840</v>
      </c>
      <c r="AJ34" s="15">
        <v>840</v>
      </c>
      <c r="AK34" s="15">
        <v>840</v>
      </c>
      <c r="AL34" s="15">
        <v>840</v>
      </c>
      <c r="AM34" s="15">
        <v>840</v>
      </c>
      <c r="AN34" s="15">
        <v>840</v>
      </c>
      <c r="AO34" s="15">
        <v>840</v>
      </c>
      <c r="AP34" s="15">
        <v>840</v>
      </c>
      <c r="AQ34" s="15">
        <v>840</v>
      </c>
      <c r="AR34" s="15">
        <v>840</v>
      </c>
      <c r="AS34" s="15">
        <v>840</v>
      </c>
      <c r="AT34" s="15">
        <v>840</v>
      </c>
      <c r="AU34" s="15">
        <v>840</v>
      </c>
      <c r="AV34" s="15">
        <v>840</v>
      </c>
      <c r="AW34" s="15">
        <v>840</v>
      </c>
      <c r="AX34" s="15">
        <v>840</v>
      </c>
      <c r="AY34" s="15">
        <v>840</v>
      </c>
      <c r="AZ34" s="15">
        <v>840</v>
      </c>
      <c r="BA34" s="15">
        <v>840</v>
      </c>
      <c r="BB34" s="15">
        <v>840</v>
      </c>
      <c r="BC34" s="15">
        <v>840</v>
      </c>
      <c r="BD34" s="15">
        <v>840</v>
      </c>
      <c r="BE34" s="9"/>
      <c r="BF34" s="21"/>
      <c r="BH34" s="20"/>
      <c r="BI34" s="20"/>
      <c r="BK34" s="20"/>
      <c r="BL34" s="20"/>
      <c r="BM34" s="20"/>
      <c r="BO34" s="13" t="s">
        <v>43</v>
      </c>
      <c r="BP34" s="13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P34" s="13" t="s">
        <v>43</v>
      </c>
      <c r="CQ34" s="13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</row>
    <row r="35" spans="1:119" x14ac:dyDescent="0.35">
      <c r="BE35" s="9"/>
    </row>
    <row r="36" spans="1:119" x14ac:dyDescent="0.35">
      <c r="BE36" s="9"/>
    </row>
    <row r="37" spans="1:119" x14ac:dyDescent="0.35">
      <c r="A37" s="23" t="s">
        <v>54</v>
      </c>
      <c r="BE37" s="9"/>
    </row>
    <row r="38" spans="1:119" x14ac:dyDescent="0.35">
      <c r="A38" s="23" t="s">
        <v>57</v>
      </c>
      <c r="BE38" s="9"/>
    </row>
    <row r="39" spans="1:119" x14ac:dyDescent="0.35">
      <c r="BE39" s="9"/>
    </row>
    <row r="40" spans="1:119" x14ac:dyDescent="0.35">
      <c r="A40" t="s">
        <v>51</v>
      </c>
      <c r="E40" t="s">
        <v>33</v>
      </c>
      <c r="AE40" t="s">
        <v>45</v>
      </c>
      <c r="BE40" s="9"/>
      <c r="BF40" t="s">
        <v>48</v>
      </c>
      <c r="BO40" t="s">
        <v>46</v>
      </c>
      <c r="CP40" t="s">
        <v>47</v>
      </c>
    </row>
    <row r="41" spans="1:119" x14ac:dyDescent="0.35">
      <c r="A41" s="72" t="s">
        <v>1</v>
      </c>
      <c r="B41" s="24" t="s">
        <v>5</v>
      </c>
      <c r="C41" s="6">
        <v>0</v>
      </c>
      <c r="E41" s="66" t="s">
        <v>44</v>
      </c>
      <c r="F41" s="66" t="s">
        <v>22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E41" s="62" t="s">
        <v>44</v>
      </c>
      <c r="AF41" s="63"/>
      <c r="AG41" s="66" t="s">
        <v>22</v>
      </c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9"/>
      <c r="BF41" s="11" t="s">
        <v>22</v>
      </c>
      <c r="BG41" s="11" t="s">
        <v>49</v>
      </c>
      <c r="BH41" s="17"/>
      <c r="BI41" s="11" t="s">
        <v>22</v>
      </c>
      <c r="BJ41" s="11" t="s">
        <v>49</v>
      </c>
      <c r="BK41" s="17"/>
      <c r="BL41" s="11" t="s">
        <v>22</v>
      </c>
      <c r="BM41" s="11" t="s">
        <v>49</v>
      </c>
      <c r="BO41" s="66" t="s">
        <v>44</v>
      </c>
      <c r="BP41" s="11"/>
      <c r="BQ41" s="66" t="s">
        <v>22</v>
      </c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P41" s="66" t="s">
        <v>44</v>
      </c>
      <c r="CQ41" s="11"/>
      <c r="CR41" s="66" t="s">
        <v>22</v>
      </c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  <c r="DM41" s="66"/>
      <c r="DN41" s="66"/>
      <c r="DO41" s="66"/>
    </row>
    <row r="42" spans="1:119" x14ac:dyDescent="0.35">
      <c r="A42" s="73"/>
      <c r="B42" s="24" t="s">
        <v>6</v>
      </c>
      <c r="C42" s="6">
        <v>3452429.36</v>
      </c>
      <c r="E42" s="66"/>
      <c r="F42" s="12">
        <v>1</v>
      </c>
      <c r="G42" s="12">
        <v>2</v>
      </c>
      <c r="H42" s="12">
        <v>3</v>
      </c>
      <c r="I42" s="12">
        <v>4</v>
      </c>
      <c r="J42" s="12">
        <v>5</v>
      </c>
      <c r="K42" s="12">
        <v>6</v>
      </c>
      <c r="L42" s="12">
        <v>7</v>
      </c>
      <c r="M42" s="12">
        <v>8</v>
      </c>
      <c r="N42" s="12">
        <v>9</v>
      </c>
      <c r="O42" s="12">
        <v>10</v>
      </c>
      <c r="P42" s="12">
        <v>11</v>
      </c>
      <c r="Q42" s="12">
        <v>12</v>
      </c>
      <c r="R42" s="12">
        <v>13</v>
      </c>
      <c r="S42" s="12">
        <v>14</v>
      </c>
      <c r="T42" s="12">
        <v>15</v>
      </c>
      <c r="U42" s="12">
        <v>16</v>
      </c>
      <c r="V42" s="12">
        <v>17</v>
      </c>
      <c r="W42" s="12">
        <v>18</v>
      </c>
      <c r="X42" s="12">
        <v>19</v>
      </c>
      <c r="Y42" s="12">
        <v>20</v>
      </c>
      <c r="Z42" s="12">
        <v>21</v>
      </c>
      <c r="AA42" s="12">
        <v>22</v>
      </c>
      <c r="AB42" s="12">
        <v>23</v>
      </c>
      <c r="AC42" s="12">
        <v>24</v>
      </c>
      <c r="AE42" s="64"/>
      <c r="AF42" s="65"/>
      <c r="AG42" s="14">
        <v>1</v>
      </c>
      <c r="AH42" s="14">
        <v>2</v>
      </c>
      <c r="AI42" s="14">
        <v>3</v>
      </c>
      <c r="AJ42" s="14">
        <v>4</v>
      </c>
      <c r="AK42" s="14">
        <v>5</v>
      </c>
      <c r="AL42" s="14">
        <v>6</v>
      </c>
      <c r="AM42" s="14">
        <v>7</v>
      </c>
      <c r="AN42" s="14">
        <v>8</v>
      </c>
      <c r="AO42" s="14">
        <v>9</v>
      </c>
      <c r="AP42" s="14">
        <v>10</v>
      </c>
      <c r="AQ42" s="14">
        <v>11</v>
      </c>
      <c r="AR42" s="14">
        <v>12</v>
      </c>
      <c r="AS42" s="14">
        <v>13</v>
      </c>
      <c r="AT42" s="14">
        <v>14</v>
      </c>
      <c r="AU42" s="14">
        <v>15</v>
      </c>
      <c r="AV42" s="14">
        <v>16</v>
      </c>
      <c r="AW42" s="14">
        <v>17</v>
      </c>
      <c r="AX42" s="14">
        <v>18</v>
      </c>
      <c r="AY42" s="14">
        <v>19</v>
      </c>
      <c r="AZ42" s="14">
        <v>20</v>
      </c>
      <c r="BA42" s="14">
        <v>21</v>
      </c>
      <c r="BB42" s="14">
        <v>22</v>
      </c>
      <c r="BC42" s="14">
        <v>23</v>
      </c>
      <c r="BD42" s="14">
        <v>24</v>
      </c>
      <c r="BE42" s="9"/>
      <c r="BF42" s="11">
        <v>1</v>
      </c>
      <c r="BG42" s="22">
        <v>651.30000000000007</v>
      </c>
      <c r="BH42" s="18"/>
      <c r="BI42" s="14">
        <v>11</v>
      </c>
      <c r="BJ42" s="22">
        <v>651.30000000000007</v>
      </c>
      <c r="BK42" s="18"/>
      <c r="BL42" s="14">
        <v>21</v>
      </c>
      <c r="BM42" s="22">
        <v>651.30000000000007</v>
      </c>
      <c r="BO42" s="66"/>
      <c r="BP42" s="11"/>
      <c r="BQ42" s="14">
        <v>1</v>
      </c>
      <c r="BR42" s="14">
        <v>2</v>
      </c>
      <c r="BS42" s="14">
        <v>3</v>
      </c>
      <c r="BT42" s="14">
        <v>4</v>
      </c>
      <c r="BU42" s="14">
        <v>5</v>
      </c>
      <c r="BV42" s="14">
        <v>6</v>
      </c>
      <c r="BW42" s="14">
        <v>7</v>
      </c>
      <c r="BX42" s="14">
        <v>8</v>
      </c>
      <c r="BY42" s="14">
        <v>9</v>
      </c>
      <c r="BZ42" s="14">
        <v>10</v>
      </c>
      <c r="CA42" s="14">
        <v>11</v>
      </c>
      <c r="CB42" s="14">
        <v>12</v>
      </c>
      <c r="CC42" s="14">
        <v>13</v>
      </c>
      <c r="CD42" s="14">
        <v>14</v>
      </c>
      <c r="CE42" s="14">
        <v>15</v>
      </c>
      <c r="CF42" s="14">
        <v>16</v>
      </c>
      <c r="CG42" s="14">
        <v>17</v>
      </c>
      <c r="CH42" s="14">
        <v>18</v>
      </c>
      <c r="CI42" s="14">
        <v>19</v>
      </c>
      <c r="CJ42" s="14">
        <v>20</v>
      </c>
      <c r="CK42" s="14">
        <v>21</v>
      </c>
      <c r="CL42" s="14">
        <v>22</v>
      </c>
      <c r="CM42" s="14">
        <v>23</v>
      </c>
      <c r="CN42" s="14">
        <v>24</v>
      </c>
      <c r="CP42" s="66"/>
      <c r="CQ42" s="11"/>
      <c r="CR42" s="14">
        <v>1</v>
      </c>
      <c r="CS42" s="14">
        <v>2</v>
      </c>
      <c r="CT42" s="14">
        <v>3</v>
      </c>
      <c r="CU42" s="14">
        <v>4</v>
      </c>
      <c r="CV42" s="14">
        <v>5</v>
      </c>
      <c r="CW42" s="14">
        <v>6</v>
      </c>
      <c r="CX42" s="14">
        <v>7</v>
      </c>
      <c r="CY42" s="14">
        <v>8</v>
      </c>
      <c r="CZ42" s="14">
        <v>9</v>
      </c>
      <c r="DA42" s="14">
        <v>10</v>
      </c>
      <c r="DB42" s="14">
        <v>11</v>
      </c>
      <c r="DC42" s="14">
        <v>12</v>
      </c>
      <c r="DD42" s="14">
        <v>13</v>
      </c>
      <c r="DE42" s="14">
        <v>14</v>
      </c>
      <c r="DF42" s="14">
        <v>15</v>
      </c>
      <c r="DG42" s="14">
        <v>16</v>
      </c>
      <c r="DH42" s="14">
        <v>17</v>
      </c>
      <c r="DI42" s="14">
        <v>18</v>
      </c>
      <c r="DJ42" s="14">
        <v>19</v>
      </c>
      <c r="DK42" s="14">
        <v>20</v>
      </c>
      <c r="DL42" s="14">
        <v>21</v>
      </c>
      <c r="DM42" s="14">
        <v>22</v>
      </c>
      <c r="DN42" s="14">
        <v>23</v>
      </c>
      <c r="DO42" s="14">
        <v>24</v>
      </c>
    </row>
    <row r="43" spans="1:119" x14ac:dyDescent="0.35">
      <c r="A43" s="73"/>
      <c r="B43" s="24" t="s">
        <v>7</v>
      </c>
      <c r="C43" s="6">
        <v>454586.54</v>
      </c>
      <c r="E43" s="13" t="s">
        <v>34</v>
      </c>
      <c r="F43" s="10">
        <v>1</v>
      </c>
      <c r="G43" s="10">
        <v>1</v>
      </c>
      <c r="H43" s="10">
        <v>1</v>
      </c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>
        <v>1</v>
      </c>
      <c r="O43" s="10">
        <v>1</v>
      </c>
      <c r="P43" s="10">
        <v>1</v>
      </c>
      <c r="Q43" s="10">
        <v>1</v>
      </c>
      <c r="R43" s="10">
        <v>1</v>
      </c>
      <c r="S43" s="10">
        <v>1</v>
      </c>
      <c r="T43" s="10">
        <v>1</v>
      </c>
      <c r="U43" s="10">
        <v>1</v>
      </c>
      <c r="V43" s="10">
        <v>1</v>
      </c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>
        <v>1</v>
      </c>
      <c r="AC43" s="10">
        <v>1</v>
      </c>
      <c r="AE43" s="13" t="s">
        <v>34</v>
      </c>
      <c r="AF43" s="13" t="s">
        <v>60</v>
      </c>
      <c r="AG43" s="15">
        <v>1176</v>
      </c>
      <c r="AH43" s="15">
        <v>1176</v>
      </c>
      <c r="AI43" s="15">
        <v>1176</v>
      </c>
      <c r="AJ43" s="15">
        <v>1176</v>
      </c>
      <c r="AK43" s="15">
        <v>1176</v>
      </c>
      <c r="AL43" s="15">
        <v>1056</v>
      </c>
      <c r="AM43" s="15">
        <v>1096.0604107918234</v>
      </c>
      <c r="AN43" s="15">
        <v>1056</v>
      </c>
      <c r="AO43" s="15">
        <v>1176</v>
      </c>
      <c r="AP43" s="15">
        <v>1176</v>
      </c>
      <c r="AQ43" s="15">
        <v>1176</v>
      </c>
      <c r="AR43" s="15">
        <v>1176</v>
      </c>
      <c r="AS43" s="15">
        <v>1176</v>
      </c>
      <c r="AT43" s="15">
        <v>1176</v>
      </c>
      <c r="AU43" s="15">
        <v>1176</v>
      </c>
      <c r="AV43" s="15">
        <v>1176</v>
      </c>
      <c r="AW43" s="15">
        <v>1176</v>
      </c>
      <c r="AX43" s="15">
        <v>1176</v>
      </c>
      <c r="AY43" s="15">
        <v>1176</v>
      </c>
      <c r="AZ43" s="15">
        <v>1176</v>
      </c>
      <c r="BA43" s="15">
        <v>1176</v>
      </c>
      <c r="BB43" s="15">
        <v>1176</v>
      </c>
      <c r="BC43" s="15">
        <v>1176</v>
      </c>
      <c r="BD43" s="15">
        <v>1176</v>
      </c>
      <c r="BE43" s="9"/>
      <c r="BF43" s="16">
        <v>2</v>
      </c>
      <c r="BG43" s="22">
        <v>651.30000000000007</v>
      </c>
      <c r="BH43" s="19"/>
      <c r="BI43" s="14">
        <v>12</v>
      </c>
      <c r="BJ43" s="22">
        <v>651.30000000000007</v>
      </c>
      <c r="BK43" s="19"/>
      <c r="BL43" s="14">
        <v>22</v>
      </c>
      <c r="BM43" s="22">
        <v>651.30000000000007</v>
      </c>
      <c r="BO43" s="13" t="s">
        <v>34</v>
      </c>
      <c r="BP43" s="13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P43" s="13" t="s">
        <v>34</v>
      </c>
      <c r="CQ43" s="13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</row>
    <row r="44" spans="1:119" x14ac:dyDescent="0.35">
      <c r="A44" s="74"/>
      <c r="B44" s="24" t="s">
        <v>8</v>
      </c>
      <c r="C44" s="6">
        <v>0</v>
      </c>
      <c r="E44" s="13" t="s">
        <v>35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E44" s="13" t="s">
        <v>35</v>
      </c>
      <c r="AF44" s="13" t="s">
        <v>62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9"/>
      <c r="BF44" s="16">
        <v>3</v>
      </c>
      <c r="BG44" s="22">
        <v>651.30000000000007</v>
      </c>
      <c r="BH44" s="19"/>
      <c r="BI44" s="14">
        <v>13</v>
      </c>
      <c r="BJ44" s="22">
        <v>651.30000000000007</v>
      </c>
      <c r="BK44" s="19"/>
      <c r="BL44" s="14">
        <v>23</v>
      </c>
      <c r="BM44" s="22">
        <v>505.49999999999994</v>
      </c>
      <c r="BO44" s="13" t="s">
        <v>35</v>
      </c>
      <c r="BP44" s="13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P44" s="13" t="s">
        <v>35</v>
      </c>
      <c r="CQ44" s="13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</row>
    <row r="45" spans="1:119" x14ac:dyDescent="0.35">
      <c r="A45" s="68" t="s">
        <v>50</v>
      </c>
      <c r="B45" s="69"/>
      <c r="C45" s="6">
        <v>0</v>
      </c>
      <c r="E45" s="13" t="s">
        <v>36</v>
      </c>
      <c r="F45" s="10">
        <v>1</v>
      </c>
      <c r="G45" s="10">
        <v>1</v>
      </c>
      <c r="H45" s="10">
        <v>1</v>
      </c>
      <c r="I45" s="10">
        <v>1</v>
      </c>
      <c r="J45" s="10">
        <v>1</v>
      </c>
      <c r="K45" s="10">
        <v>1</v>
      </c>
      <c r="L45" s="10">
        <v>1</v>
      </c>
      <c r="M45" s="10">
        <v>1</v>
      </c>
      <c r="N45" s="10">
        <v>1</v>
      </c>
      <c r="O45" s="10">
        <v>1</v>
      </c>
      <c r="P45" s="10">
        <v>1</v>
      </c>
      <c r="Q45" s="10">
        <v>1</v>
      </c>
      <c r="R45" s="10">
        <v>1</v>
      </c>
      <c r="S45" s="10">
        <v>1</v>
      </c>
      <c r="T45" s="10">
        <v>1</v>
      </c>
      <c r="U45" s="10">
        <v>1</v>
      </c>
      <c r="V45" s="10">
        <v>1</v>
      </c>
      <c r="W45" s="10">
        <v>1</v>
      </c>
      <c r="X45" s="10">
        <v>1</v>
      </c>
      <c r="Y45" s="10">
        <v>1</v>
      </c>
      <c r="Z45" s="10">
        <v>1</v>
      </c>
      <c r="AA45" s="10">
        <v>1</v>
      </c>
      <c r="AB45" s="10">
        <v>1</v>
      </c>
      <c r="AC45" s="10">
        <v>1</v>
      </c>
      <c r="AE45" s="13" t="s">
        <v>36</v>
      </c>
      <c r="AF45" s="13" t="s">
        <v>63</v>
      </c>
      <c r="AG45" s="15">
        <v>720</v>
      </c>
      <c r="AH45" s="15">
        <v>840.00000000000011</v>
      </c>
      <c r="AI45" s="15">
        <v>960.00000000000034</v>
      </c>
      <c r="AJ45" s="15">
        <v>880.18158559789299</v>
      </c>
      <c r="AK45" s="15">
        <v>865.38337122505754</v>
      </c>
      <c r="AL45" s="15">
        <v>947.52102258867217</v>
      </c>
      <c r="AM45" s="15">
        <v>969</v>
      </c>
      <c r="AN45" s="15">
        <v>960.69193735668614</v>
      </c>
      <c r="AO45" s="15">
        <v>969</v>
      </c>
      <c r="AP45" s="15">
        <v>969</v>
      </c>
      <c r="AQ45" s="15">
        <v>969</v>
      </c>
      <c r="AR45" s="15">
        <v>969</v>
      </c>
      <c r="AS45" s="15">
        <v>969</v>
      </c>
      <c r="AT45" s="15">
        <v>969</v>
      </c>
      <c r="AU45" s="15">
        <v>969</v>
      </c>
      <c r="AV45" s="15">
        <v>969</v>
      </c>
      <c r="AW45" s="15">
        <v>969</v>
      </c>
      <c r="AX45" s="15">
        <v>969</v>
      </c>
      <c r="AY45" s="15">
        <v>969</v>
      </c>
      <c r="AZ45" s="15">
        <v>969</v>
      </c>
      <c r="BA45" s="15">
        <v>969</v>
      </c>
      <c r="BB45" s="15">
        <v>969</v>
      </c>
      <c r="BC45" s="15">
        <v>969</v>
      </c>
      <c r="BD45" s="15">
        <v>969</v>
      </c>
      <c r="BE45" s="9"/>
      <c r="BF45" s="16">
        <v>4</v>
      </c>
      <c r="BG45" s="22">
        <v>651.30000000000007</v>
      </c>
      <c r="BH45" s="19"/>
      <c r="BI45" s="14">
        <v>14</v>
      </c>
      <c r="BJ45" s="22">
        <v>651.30000000000007</v>
      </c>
      <c r="BK45" s="19"/>
      <c r="BL45" s="14">
        <v>24</v>
      </c>
      <c r="BM45" s="22">
        <v>505.49999999999994</v>
      </c>
      <c r="BO45" s="13" t="s">
        <v>36</v>
      </c>
      <c r="BP45" s="13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P45" s="13" t="s">
        <v>36</v>
      </c>
      <c r="CQ45" s="13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</row>
    <row r="46" spans="1:119" x14ac:dyDescent="0.35">
      <c r="A46" s="68" t="s">
        <v>3</v>
      </c>
      <c r="B46" s="69"/>
      <c r="C46" s="6">
        <v>0</v>
      </c>
      <c r="E46" s="13" t="s">
        <v>37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E46" s="13" t="s">
        <v>37</v>
      </c>
      <c r="AF46" s="13" t="s">
        <v>64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9"/>
      <c r="BF46" s="16">
        <v>5</v>
      </c>
      <c r="BG46" s="22">
        <v>651.30000000000007</v>
      </c>
      <c r="BH46" s="19"/>
      <c r="BI46" s="14">
        <v>15</v>
      </c>
      <c r="BJ46" s="22">
        <v>651.30000000000007</v>
      </c>
      <c r="BK46" s="20"/>
      <c r="BL46" s="20"/>
      <c r="BM46" s="20"/>
      <c r="BO46" s="13" t="s">
        <v>37</v>
      </c>
      <c r="BP46" s="13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P46" s="13" t="s">
        <v>37</v>
      </c>
      <c r="CQ46" s="13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</row>
    <row r="47" spans="1:119" x14ac:dyDescent="0.35">
      <c r="A47" s="70" t="s">
        <v>4</v>
      </c>
      <c r="B47" s="71"/>
      <c r="C47" s="25">
        <f>SUM(C41:C46)</f>
        <v>3907015.9</v>
      </c>
      <c r="E47" s="13" t="s">
        <v>38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E47" s="13" t="s">
        <v>38</v>
      </c>
      <c r="AF47" s="13" t="s">
        <v>65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9"/>
      <c r="BF47" s="16">
        <v>6</v>
      </c>
      <c r="BG47" s="22">
        <v>651.30000000000007</v>
      </c>
      <c r="BH47" s="19"/>
      <c r="BI47" s="14">
        <v>16</v>
      </c>
      <c r="BJ47" s="22">
        <v>651.30000000000007</v>
      </c>
      <c r="BK47" s="20"/>
      <c r="BL47" s="20"/>
      <c r="BM47" s="20"/>
      <c r="BO47" s="13" t="s">
        <v>38</v>
      </c>
      <c r="BP47" s="13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P47" s="13" t="s">
        <v>38</v>
      </c>
      <c r="CQ47" s="13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</row>
    <row r="48" spans="1:119" x14ac:dyDescent="0.35">
      <c r="E48" s="13" t="s">
        <v>39</v>
      </c>
      <c r="F48" s="10">
        <v>1</v>
      </c>
      <c r="G48" s="10">
        <v>1</v>
      </c>
      <c r="H48" s="10">
        <v>1</v>
      </c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>
        <v>1</v>
      </c>
      <c r="O48" s="10">
        <v>1</v>
      </c>
      <c r="P48" s="10">
        <v>1</v>
      </c>
      <c r="Q48" s="10">
        <v>1</v>
      </c>
      <c r="R48" s="10">
        <v>1</v>
      </c>
      <c r="S48" s="10">
        <v>1</v>
      </c>
      <c r="T48" s="10">
        <v>1</v>
      </c>
      <c r="U48" s="10">
        <v>1</v>
      </c>
      <c r="V48" s="10">
        <v>1</v>
      </c>
      <c r="W48" s="10">
        <v>1</v>
      </c>
      <c r="X48" s="10">
        <v>1</v>
      </c>
      <c r="Y48" s="10">
        <v>1</v>
      </c>
      <c r="Z48" s="10">
        <v>1</v>
      </c>
      <c r="AA48" s="10">
        <v>1</v>
      </c>
      <c r="AB48" s="10">
        <v>1</v>
      </c>
      <c r="AC48" s="10">
        <v>1</v>
      </c>
      <c r="AE48" s="13" t="s">
        <v>39</v>
      </c>
      <c r="AF48" s="13" t="s">
        <v>66</v>
      </c>
      <c r="AG48" s="15">
        <v>401.67683465873051</v>
      </c>
      <c r="AH48" s="15">
        <v>289.1684539200869</v>
      </c>
      <c r="AI48" s="15">
        <v>250</v>
      </c>
      <c r="AJ48" s="15">
        <v>250</v>
      </c>
      <c r="AK48" s="15">
        <v>250</v>
      </c>
      <c r="AL48" s="15">
        <v>250</v>
      </c>
      <c r="AM48" s="15">
        <v>250</v>
      </c>
      <c r="AN48" s="15">
        <v>250</v>
      </c>
      <c r="AO48" s="15">
        <v>428.45406059423294</v>
      </c>
      <c r="AP48" s="15">
        <v>444.07191296287328</v>
      </c>
      <c r="AQ48" s="15">
        <v>315.98455969166207</v>
      </c>
      <c r="AR48" s="15">
        <v>615.98455969166207</v>
      </c>
      <c r="AS48" s="15">
        <v>665.45339513099407</v>
      </c>
      <c r="AT48" s="15">
        <v>590.8112523783966</v>
      </c>
      <c r="AU48" s="15">
        <v>442.42701078206574</v>
      </c>
      <c r="AV48" s="15">
        <v>635.44880128799377</v>
      </c>
      <c r="AW48" s="15">
        <v>335.44880128799377</v>
      </c>
      <c r="AX48" s="15">
        <v>429.40000000000055</v>
      </c>
      <c r="AY48" s="15">
        <v>729.40000000000055</v>
      </c>
      <c r="AZ48" s="15">
        <v>1029.4000000000005</v>
      </c>
      <c r="BA48" s="15">
        <v>977.68454505537466</v>
      </c>
      <c r="BB48" s="15">
        <v>871.29894325998976</v>
      </c>
      <c r="BC48" s="15">
        <v>848.51895789627815</v>
      </c>
      <c r="BD48" s="15">
        <v>641.25650192711146</v>
      </c>
      <c r="BE48" s="9"/>
      <c r="BF48" s="16">
        <v>7</v>
      </c>
      <c r="BG48" s="22">
        <v>651.30000000000007</v>
      </c>
      <c r="BH48" s="19"/>
      <c r="BI48" s="14">
        <v>17</v>
      </c>
      <c r="BJ48" s="22">
        <v>651.30000000000007</v>
      </c>
      <c r="BK48" s="20"/>
      <c r="BL48" s="20"/>
      <c r="BM48" s="20"/>
      <c r="BO48" s="13" t="s">
        <v>39</v>
      </c>
      <c r="BP48" s="13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P48" s="13" t="s">
        <v>39</v>
      </c>
      <c r="CQ48" s="13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</row>
    <row r="49" spans="1:119" x14ac:dyDescent="0.35">
      <c r="E49" s="13" t="s">
        <v>40</v>
      </c>
      <c r="F49" s="10">
        <v>1</v>
      </c>
      <c r="G49" s="10">
        <v>1</v>
      </c>
      <c r="H49" s="10">
        <v>1</v>
      </c>
      <c r="I49" s="10">
        <v>1</v>
      </c>
      <c r="J49" s="10">
        <v>1</v>
      </c>
      <c r="K49" s="10">
        <v>1</v>
      </c>
      <c r="L49" s="10">
        <v>1</v>
      </c>
      <c r="M49" s="10">
        <v>1</v>
      </c>
      <c r="N49" s="10">
        <v>1</v>
      </c>
      <c r="O49" s="10">
        <v>1</v>
      </c>
      <c r="P49" s="10">
        <v>1</v>
      </c>
      <c r="Q49" s="10">
        <v>1</v>
      </c>
      <c r="R49" s="10">
        <v>1</v>
      </c>
      <c r="S49" s="10">
        <v>1</v>
      </c>
      <c r="T49" s="10">
        <v>1</v>
      </c>
      <c r="U49" s="10">
        <v>1</v>
      </c>
      <c r="V49" s="10">
        <v>1</v>
      </c>
      <c r="W49" s="10">
        <v>1</v>
      </c>
      <c r="X49" s="10">
        <v>1</v>
      </c>
      <c r="Y49" s="10">
        <v>1</v>
      </c>
      <c r="Z49" s="10">
        <v>1</v>
      </c>
      <c r="AA49" s="10">
        <v>1</v>
      </c>
      <c r="AB49" s="10">
        <v>0</v>
      </c>
      <c r="AC49" s="10">
        <v>0</v>
      </c>
      <c r="AE49" s="13" t="s">
        <v>40</v>
      </c>
      <c r="AF49" s="13" t="s">
        <v>67</v>
      </c>
      <c r="AG49" s="15">
        <v>548.00000000000011</v>
      </c>
      <c r="AH49" s="15">
        <v>248</v>
      </c>
      <c r="AI49" s="15">
        <v>248</v>
      </c>
      <c r="AJ49" s="15">
        <v>248</v>
      </c>
      <c r="AK49" s="15">
        <v>248</v>
      </c>
      <c r="AL49" s="15">
        <v>248</v>
      </c>
      <c r="AM49" s="15">
        <v>248</v>
      </c>
      <c r="AN49" s="15">
        <v>248</v>
      </c>
      <c r="AO49" s="15">
        <v>248</v>
      </c>
      <c r="AP49" s="15">
        <v>548</v>
      </c>
      <c r="AQ49" s="15">
        <v>810</v>
      </c>
      <c r="AR49" s="15">
        <v>561.13119383324465</v>
      </c>
      <c r="AS49" s="15">
        <v>261.13119383324465</v>
      </c>
      <c r="AT49" s="15">
        <v>510</v>
      </c>
      <c r="AU49" s="15">
        <v>810</v>
      </c>
      <c r="AV49" s="15">
        <v>572.14034248914504</v>
      </c>
      <c r="AW49" s="15">
        <v>810</v>
      </c>
      <c r="AX49" s="15">
        <v>616.15684441625581</v>
      </c>
      <c r="AY49" s="15">
        <v>367.8722993608817</v>
      </c>
      <c r="AZ49" s="15">
        <v>248</v>
      </c>
      <c r="BA49" s="15">
        <v>248</v>
      </c>
      <c r="BB49" s="15">
        <v>248</v>
      </c>
      <c r="BC49" s="15">
        <v>0</v>
      </c>
      <c r="BD49" s="15">
        <v>0</v>
      </c>
      <c r="BE49" s="9"/>
      <c r="BF49" s="16">
        <v>8</v>
      </c>
      <c r="BG49" s="22">
        <v>651.30000000000007</v>
      </c>
      <c r="BH49" s="19"/>
      <c r="BI49" s="14">
        <v>18</v>
      </c>
      <c r="BJ49" s="22">
        <v>651.30000000000007</v>
      </c>
      <c r="BK49" s="20"/>
      <c r="BL49" s="20"/>
      <c r="BM49" s="20"/>
      <c r="BO49" s="13" t="s">
        <v>40</v>
      </c>
      <c r="BP49" s="13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P49" s="13" t="s">
        <v>40</v>
      </c>
      <c r="CQ49" s="13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</row>
    <row r="50" spans="1:119" x14ac:dyDescent="0.35">
      <c r="E50" s="13" t="s">
        <v>41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E50" s="13" t="s">
        <v>41</v>
      </c>
      <c r="AF50" s="13" t="s">
        <v>68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9"/>
      <c r="BF50" s="16">
        <v>9</v>
      </c>
      <c r="BG50" s="22">
        <v>651.30000000000007</v>
      </c>
      <c r="BH50" s="19"/>
      <c r="BI50" s="14">
        <v>19</v>
      </c>
      <c r="BJ50" s="22">
        <v>651.30000000000007</v>
      </c>
      <c r="BK50" s="20"/>
      <c r="BL50" s="20"/>
      <c r="BM50" s="20"/>
      <c r="BO50" s="13" t="s">
        <v>41</v>
      </c>
      <c r="BP50" s="13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P50" s="13" t="s">
        <v>41</v>
      </c>
      <c r="CQ50" s="13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</row>
    <row r="51" spans="1:119" x14ac:dyDescent="0.35">
      <c r="E51" s="13" t="s">
        <v>42</v>
      </c>
      <c r="F51" s="10">
        <v>1</v>
      </c>
      <c r="G51" s="10">
        <v>1</v>
      </c>
      <c r="H51" s="10">
        <v>1</v>
      </c>
      <c r="I51" s="10">
        <v>1</v>
      </c>
      <c r="J51" s="10">
        <v>1</v>
      </c>
      <c r="K51" s="10">
        <v>1</v>
      </c>
      <c r="L51" s="10">
        <v>1</v>
      </c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>
        <v>1</v>
      </c>
      <c r="S51" s="10">
        <v>1</v>
      </c>
      <c r="T51" s="10">
        <v>1</v>
      </c>
      <c r="U51" s="10">
        <v>1</v>
      </c>
      <c r="V51" s="10">
        <v>1</v>
      </c>
      <c r="W51" s="10">
        <v>1</v>
      </c>
      <c r="X51" s="10">
        <v>1</v>
      </c>
      <c r="Y51" s="10">
        <v>1</v>
      </c>
      <c r="Z51" s="10">
        <v>1</v>
      </c>
      <c r="AA51" s="10">
        <v>1</v>
      </c>
      <c r="AB51" s="10">
        <v>1</v>
      </c>
      <c r="AC51" s="10">
        <v>1</v>
      </c>
      <c r="AE51" s="13" t="s">
        <v>42</v>
      </c>
      <c r="AF51" s="13" t="s">
        <v>61</v>
      </c>
      <c r="AG51" s="15">
        <v>660</v>
      </c>
      <c r="AH51" s="15">
        <v>780.00000000000011</v>
      </c>
      <c r="AI51" s="15">
        <v>735.20178562716455</v>
      </c>
      <c r="AJ51" s="15">
        <v>855.20178562716455</v>
      </c>
      <c r="AK51" s="15">
        <v>750</v>
      </c>
      <c r="AL51" s="15">
        <v>870</v>
      </c>
      <c r="AM51" s="15">
        <v>870</v>
      </c>
      <c r="AN51" s="15">
        <v>870</v>
      </c>
      <c r="AO51" s="15">
        <v>870</v>
      </c>
      <c r="AP51" s="15">
        <v>870</v>
      </c>
      <c r="AQ51" s="15">
        <v>870</v>
      </c>
      <c r="AR51" s="15">
        <v>870</v>
      </c>
      <c r="AS51" s="15">
        <v>870</v>
      </c>
      <c r="AT51" s="15">
        <v>870</v>
      </c>
      <c r="AU51" s="15">
        <v>870</v>
      </c>
      <c r="AV51" s="15">
        <v>870</v>
      </c>
      <c r="AW51" s="15">
        <v>870</v>
      </c>
      <c r="AX51" s="15">
        <v>870</v>
      </c>
      <c r="AY51" s="15">
        <v>870</v>
      </c>
      <c r="AZ51" s="15">
        <v>870</v>
      </c>
      <c r="BA51" s="15">
        <v>870</v>
      </c>
      <c r="BB51" s="15">
        <v>870</v>
      </c>
      <c r="BC51" s="15">
        <v>870</v>
      </c>
      <c r="BD51" s="15">
        <v>870</v>
      </c>
      <c r="BE51" s="9"/>
      <c r="BF51" s="16">
        <v>10</v>
      </c>
      <c r="BG51" s="22">
        <v>651.30000000000007</v>
      </c>
      <c r="BH51" s="19"/>
      <c r="BI51" s="14">
        <v>20</v>
      </c>
      <c r="BJ51" s="22">
        <v>651.30000000000007</v>
      </c>
      <c r="BK51" s="20"/>
      <c r="BL51" s="20"/>
      <c r="BM51" s="20"/>
      <c r="BO51" s="13" t="s">
        <v>42</v>
      </c>
      <c r="BP51" s="13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P51" s="13" t="s">
        <v>42</v>
      </c>
      <c r="CQ51" s="13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</row>
    <row r="52" spans="1:119" x14ac:dyDescent="0.35">
      <c r="E52" s="13" t="s">
        <v>43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>
        <v>1</v>
      </c>
      <c r="N52" s="10">
        <v>1</v>
      </c>
      <c r="O52" s="10">
        <v>1</v>
      </c>
      <c r="P52" s="10">
        <v>1</v>
      </c>
      <c r="Q52" s="10">
        <v>1</v>
      </c>
      <c r="R52" s="10">
        <v>1</v>
      </c>
      <c r="S52" s="10">
        <v>1</v>
      </c>
      <c r="T52" s="10">
        <v>1</v>
      </c>
      <c r="U52" s="10">
        <v>1</v>
      </c>
      <c r="V52" s="10">
        <v>1</v>
      </c>
      <c r="W52" s="10">
        <v>1</v>
      </c>
      <c r="X52" s="10">
        <v>1</v>
      </c>
      <c r="Y52" s="10">
        <v>1</v>
      </c>
      <c r="Z52" s="10">
        <v>1</v>
      </c>
      <c r="AA52" s="10">
        <v>1</v>
      </c>
      <c r="AB52" s="10">
        <v>1</v>
      </c>
      <c r="AC52" s="10">
        <v>1</v>
      </c>
      <c r="AE52" s="13" t="s">
        <v>43</v>
      </c>
      <c r="AF52" s="13" t="s">
        <v>69</v>
      </c>
      <c r="AG52" s="15">
        <v>720</v>
      </c>
      <c r="AH52" s="15">
        <v>840</v>
      </c>
      <c r="AI52" s="15">
        <v>720</v>
      </c>
      <c r="AJ52" s="15">
        <v>600</v>
      </c>
      <c r="AK52" s="15">
        <v>720</v>
      </c>
      <c r="AL52" s="15">
        <v>840</v>
      </c>
      <c r="AM52" s="15">
        <v>840</v>
      </c>
      <c r="AN52" s="15">
        <v>840</v>
      </c>
      <c r="AO52" s="15">
        <v>840</v>
      </c>
      <c r="AP52" s="15">
        <v>840</v>
      </c>
      <c r="AQ52" s="15">
        <v>840</v>
      </c>
      <c r="AR52" s="15">
        <v>840</v>
      </c>
      <c r="AS52" s="15">
        <v>840</v>
      </c>
      <c r="AT52" s="15">
        <v>840</v>
      </c>
      <c r="AU52" s="15">
        <v>840</v>
      </c>
      <c r="AV52" s="15">
        <v>840</v>
      </c>
      <c r="AW52" s="15">
        <v>840</v>
      </c>
      <c r="AX52" s="15">
        <v>840</v>
      </c>
      <c r="AY52" s="15">
        <v>840</v>
      </c>
      <c r="AZ52" s="15">
        <v>840</v>
      </c>
      <c r="BA52" s="15">
        <v>840</v>
      </c>
      <c r="BB52" s="15">
        <v>840</v>
      </c>
      <c r="BC52" s="15">
        <v>840</v>
      </c>
      <c r="BD52" s="15">
        <v>840</v>
      </c>
      <c r="BE52" s="9"/>
      <c r="BF52" s="21"/>
      <c r="BH52" s="20"/>
      <c r="BI52" s="20"/>
      <c r="BK52" s="20"/>
      <c r="BL52" s="20"/>
      <c r="BM52" s="20"/>
      <c r="BO52" s="13" t="s">
        <v>43</v>
      </c>
      <c r="BP52" s="13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P52" s="13" t="s">
        <v>43</v>
      </c>
      <c r="CQ52" s="13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</row>
    <row r="53" spans="1:119" x14ac:dyDescent="0.35">
      <c r="BE53" s="9"/>
    </row>
    <row r="54" spans="1:119" x14ac:dyDescent="0.35">
      <c r="BE54" s="9"/>
    </row>
    <row r="55" spans="1:119" x14ac:dyDescent="0.35">
      <c r="A55" s="23" t="s">
        <v>55</v>
      </c>
      <c r="BE55" s="9"/>
    </row>
    <row r="56" spans="1:119" x14ac:dyDescent="0.35">
      <c r="A56" s="23" t="s">
        <v>58</v>
      </c>
      <c r="BE56" s="9"/>
    </row>
    <row r="57" spans="1:119" x14ac:dyDescent="0.35">
      <c r="BE57" s="9"/>
    </row>
    <row r="58" spans="1:119" x14ac:dyDescent="0.35">
      <c r="A58" t="s">
        <v>51</v>
      </c>
      <c r="E58" t="s">
        <v>33</v>
      </c>
      <c r="AE58" t="s">
        <v>45</v>
      </c>
      <c r="BE58" s="9"/>
      <c r="BF58" t="s">
        <v>48</v>
      </c>
      <c r="BO58" t="s">
        <v>46</v>
      </c>
      <c r="CP58" t="s">
        <v>47</v>
      </c>
    </row>
    <row r="59" spans="1:119" x14ac:dyDescent="0.35">
      <c r="A59" s="72" t="s">
        <v>1</v>
      </c>
      <c r="B59" s="24" t="s">
        <v>5</v>
      </c>
      <c r="C59" s="6">
        <v>0</v>
      </c>
      <c r="E59" s="66" t="s">
        <v>44</v>
      </c>
      <c r="F59" s="66" t="s">
        <v>22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E59" s="62" t="s">
        <v>44</v>
      </c>
      <c r="AF59" s="63"/>
      <c r="AG59" s="66" t="s">
        <v>22</v>
      </c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6"/>
      <c r="AV59" s="66"/>
      <c r="AW59" s="66"/>
      <c r="AX59" s="66"/>
      <c r="AY59" s="66"/>
      <c r="AZ59" s="66"/>
      <c r="BA59" s="66"/>
      <c r="BB59" s="66"/>
      <c r="BC59" s="66"/>
      <c r="BD59" s="66"/>
      <c r="BE59" s="9"/>
      <c r="BF59" s="11" t="s">
        <v>22</v>
      </c>
      <c r="BG59" s="11" t="s">
        <v>49</v>
      </c>
      <c r="BH59" s="17"/>
      <c r="BI59" s="11" t="s">
        <v>22</v>
      </c>
      <c r="BJ59" s="11" t="s">
        <v>49</v>
      </c>
      <c r="BK59" s="17"/>
      <c r="BL59" s="11" t="s">
        <v>22</v>
      </c>
      <c r="BM59" s="11" t="s">
        <v>49</v>
      </c>
      <c r="BO59" s="62" t="s">
        <v>44</v>
      </c>
      <c r="BP59" s="63"/>
      <c r="BQ59" s="66" t="s">
        <v>22</v>
      </c>
      <c r="BR59" s="66"/>
      <c r="BS59" s="66"/>
      <c r="BT59" s="66"/>
      <c r="BU59" s="66"/>
      <c r="BV59" s="66"/>
      <c r="BW59" s="66"/>
      <c r="BX59" s="66"/>
      <c r="BY59" s="66"/>
      <c r="BZ59" s="66"/>
      <c r="CA59" s="66"/>
      <c r="CB59" s="66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P59" s="66" t="s">
        <v>44</v>
      </c>
      <c r="CQ59" s="11"/>
      <c r="CR59" s="66" t="s">
        <v>22</v>
      </c>
      <c r="CS59" s="66"/>
      <c r="CT59" s="66"/>
      <c r="CU59" s="66"/>
      <c r="CV59" s="66"/>
      <c r="CW59" s="66"/>
      <c r="CX59" s="66"/>
      <c r="CY59" s="66"/>
      <c r="CZ59" s="66"/>
      <c r="DA59" s="66"/>
      <c r="DB59" s="66"/>
      <c r="DC59" s="66"/>
      <c r="DD59" s="66"/>
      <c r="DE59" s="66"/>
      <c r="DF59" s="66"/>
      <c r="DG59" s="66"/>
      <c r="DH59" s="66"/>
      <c r="DI59" s="66"/>
      <c r="DJ59" s="66"/>
      <c r="DK59" s="66"/>
      <c r="DL59" s="66"/>
      <c r="DM59" s="66"/>
      <c r="DN59" s="66"/>
      <c r="DO59" s="66"/>
    </row>
    <row r="60" spans="1:119" x14ac:dyDescent="0.35">
      <c r="A60" s="73"/>
      <c r="B60" s="24" t="s">
        <v>6</v>
      </c>
      <c r="C60" s="6">
        <v>3452429.36</v>
      </c>
      <c r="E60" s="66"/>
      <c r="F60" s="12">
        <v>1</v>
      </c>
      <c r="G60" s="12">
        <v>2</v>
      </c>
      <c r="H60" s="12">
        <v>3</v>
      </c>
      <c r="I60" s="12">
        <v>4</v>
      </c>
      <c r="J60" s="12">
        <v>5</v>
      </c>
      <c r="K60" s="12">
        <v>6</v>
      </c>
      <c r="L60" s="12">
        <v>7</v>
      </c>
      <c r="M60" s="12">
        <v>8</v>
      </c>
      <c r="N60" s="12">
        <v>9</v>
      </c>
      <c r="O60" s="12">
        <v>10</v>
      </c>
      <c r="P60" s="12">
        <v>11</v>
      </c>
      <c r="Q60" s="12">
        <v>12</v>
      </c>
      <c r="R60" s="12">
        <v>13</v>
      </c>
      <c r="S60" s="12">
        <v>14</v>
      </c>
      <c r="T60" s="12">
        <v>15</v>
      </c>
      <c r="U60" s="12">
        <v>16</v>
      </c>
      <c r="V60" s="12">
        <v>17</v>
      </c>
      <c r="W60" s="12">
        <v>18</v>
      </c>
      <c r="X60" s="12">
        <v>19</v>
      </c>
      <c r="Y60" s="12">
        <v>20</v>
      </c>
      <c r="Z60" s="12">
        <v>21</v>
      </c>
      <c r="AA60" s="12">
        <v>22</v>
      </c>
      <c r="AB60" s="12">
        <v>23</v>
      </c>
      <c r="AC60" s="12">
        <v>24</v>
      </c>
      <c r="AE60" s="64"/>
      <c r="AF60" s="65"/>
      <c r="AG60" s="14">
        <v>1</v>
      </c>
      <c r="AH60" s="14">
        <v>2</v>
      </c>
      <c r="AI60" s="14">
        <v>3</v>
      </c>
      <c r="AJ60" s="14">
        <v>4</v>
      </c>
      <c r="AK60" s="14">
        <v>5</v>
      </c>
      <c r="AL60" s="14">
        <v>6</v>
      </c>
      <c r="AM60" s="14">
        <v>7</v>
      </c>
      <c r="AN60" s="14">
        <v>8</v>
      </c>
      <c r="AO60" s="14">
        <v>9</v>
      </c>
      <c r="AP60" s="14">
        <v>10</v>
      </c>
      <c r="AQ60" s="14">
        <v>11</v>
      </c>
      <c r="AR60" s="14">
        <v>12</v>
      </c>
      <c r="AS60" s="14">
        <v>13</v>
      </c>
      <c r="AT60" s="14">
        <v>14</v>
      </c>
      <c r="AU60" s="14">
        <v>15</v>
      </c>
      <c r="AV60" s="14">
        <v>16</v>
      </c>
      <c r="AW60" s="14">
        <v>17</v>
      </c>
      <c r="AX60" s="14">
        <v>18</v>
      </c>
      <c r="AY60" s="14">
        <v>19</v>
      </c>
      <c r="AZ60" s="14">
        <v>20</v>
      </c>
      <c r="BA60" s="14">
        <v>21</v>
      </c>
      <c r="BB60" s="14">
        <v>22</v>
      </c>
      <c r="BC60" s="14">
        <v>23</v>
      </c>
      <c r="BD60" s="14">
        <v>24</v>
      </c>
      <c r="BE60" s="9"/>
      <c r="BF60" s="11">
        <v>1</v>
      </c>
      <c r="BG60" s="22">
        <v>651.30000000000007</v>
      </c>
      <c r="BH60" s="18"/>
      <c r="BI60" s="14">
        <v>11</v>
      </c>
      <c r="BJ60" s="22">
        <v>790.44</v>
      </c>
      <c r="BK60" s="18"/>
      <c r="BL60" s="14">
        <v>21</v>
      </c>
      <c r="BM60" s="22">
        <v>790.44</v>
      </c>
      <c r="BO60" s="64"/>
      <c r="BP60" s="65"/>
      <c r="BQ60" s="14">
        <v>1</v>
      </c>
      <c r="BR60" s="14">
        <v>2</v>
      </c>
      <c r="BS60" s="14">
        <v>3</v>
      </c>
      <c r="BT60" s="14">
        <v>4</v>
      </c>
      <c r="BU60" s="14">
        <v>5</v>
      </c>
      <c r="BV60" s="14">
        <v>6</v>
      </c>
      <c r="BW60" s="14">
        <v>7</v>
      </c>
      <c r="BX60" s="14">
        <v>8</v>
      </c>
      <c r="BY60" s="14">
        <v>9</v>
      </c>
      <c r="BZ60" s="14">
        <v>10</v>
      </c>
      <c r="CA60" s="14">
        <v>11</v>
      </c>
      <c r="CB60" s="14">
        <v>12</v>
      </c>
      <c r="CC60" s="14">
        <v>13</v>
      </c>
      <c r="CD60" s="14">
        <v>14</v>
      </c>
      <c r="CE60" s="14">
        <v>15</v>
      </c>
      <c r="CF60" s="14">
        <v>16</v>
      </c>
      <c r="CG60" s="14">
        <v>17</v>
      </c>
      <c r="CH60" s="14">
        <v>18</v>
      </c>
      <c r="CI60" s="14">
        <v>19</v>
      </c>
      <c r="CJ60" s="14">
        <v>20</v>
      </c>
      <c r="CK60" s="14">
        <v>21</v>
      </c>
      <c r="CL60" s="14">
        <v>22</v>
      </c>
      <c r="CM60" s="14">
        <v>23</v>
      </c>
      <c r="CN60" s="14">
        <v>24</v>
      </c>
      <c r="CP60" s="66"/>
      <c r="CQ60" s="11"/>
      <c r="CR60" s="14">
        <v>1</v>
      </c>
      <c r="CS60" s="14">
        <v>2</v>
      </c>
      <c r="CT60" s="14">
        <v>3</v>
      </c>
      <c r="CU60" s="14">
        <v>4</v>
      </c>
      <c r="CV60" s="14">
        <v>5</v>
      </c>
      <c r="CW60" s="14">
        <v>6</v>
      </c>
      <c r="CX60" s="14">
        <v>7</v>
      </c>
      <c r="CY60" s="14">
        <v>8</v>
      </c>
      <c r="CZ60" s="14">
        <v>9</v>
      </c>
      <c r="DA60" s="14">
        <v>10</v>
      </c>
      <c r="DB60" s="14">
        <v>11</v>
      </c>
      <c r="DC60" s="14">
        <v>12</v>
      </c>
      <c r="DD60" s="14">
        <v>13</v>
      </c>
      <c r="DE60" s="14">
        <v>14</v>
      </c>
      <c r="DF60" s="14">
        <v>15</v>
      </c>
      <c r="DG60" s="14">
        <v>16</v>
      </c>
      <c r="DH60" s="14">
        <v>17</v>
      </c>
      <c r="DI60" s="14">
        <v>18</v>
      </c>
      <c r="DJ60" s="14">
        <v>19</v>
      </c>
      <c r="DK60" s="14">
        <v>20</v>
      </c>
      <c r="DL60" s="14">
        <v>21</v>
      </c>
      <c r="DM60" s="14">
        <v>22</v>
      </c>
      <c r="DN60" s="14">
        <v>23</v>
      </c>
      <c r="DO60" s="14">
        <v>24</v>
      </c>
    </row>
    <row r="61" spans="1:119" x14ac:dyDescent="0.35">
      <c r="A61" s="73"/>
      <c r="B61" s="24" t="s">
        <v>7</v>
      </c>
      <c r="C61" s="6">
        <v>514953.88</v>
      </c>
      <c r="E61" s="13" t="s">
        <v>34</v>
      </c>
      <c r="F61" s="10">
        <v>1</v>
      </c>
      <c r="G61" s="10">
        <v>1</v>
      </c>
      <c r="H61" s="10">
        <v>1</v>
      </c>
      <c r="I61" s="10">
        <v>1</v>
      </c>
      <c r="J61" s="10">
        <v>1</v>
      </c>
      <c r="K61" s="10">
        <v>1</v>
      </c>
      <c r="L61" s="10">
        <v>1</v>
      </c>
      <c r="M61" s="10">
        <v>1</v>
      </c>
      <c r="N61" s="10">
        <v>1</v>
      </c>
      <c r="O61" s="10">
        <v>1</v>
      </c>
      <c r="P61" s="10">
        <v>1</v>
      </c>
      <c r="Q61" s="10">
        <v>1</v>
      </c>
      <c r="R61" s="10">
        <v>1</v>
      </c>
      <c r="S61" s="10">
        <v>1</v>
      </c>
      <c r="T61" s="10">
        <v>1</v>
      </c>
      <c r="U61" s="10">
        <v>1</v>
      </c>
      <c r="V61" s="10">
        <v>1</v>
      </c>
      <c r="W61" s="10">
        <v>1</v>
      </c>
      <c r="X61" s="10">
        <v>1</v>
      </c>
      <c r="Y61" s="10">
        <v>1</v>
      </c>
      <c r="Z61" s="10">
        <v>1</v>
      </c>
      <c r="AA61" s="10">
        <v>1</v>
      </c>
      <c r="AB61" s="10">
        <v>1</v>
      </c>
      <c r="AC61" s="10">
        <v>1</v>
      </c>
      <c r="AE61" s="13" t="s">
        <v>34</v>
      </c>
      <c r="AF61" s="13" t="s">
        <v>60</v>
      </c>
      <c r="AG61" s="15">
        <v>1176</v>
      </c>
      <c r="AH61" s="15">
        <v>1176</v>
      </c>
      <c r="AI61" s="15">
        <v>1176</v>
      </c>
      <c r="AJ61" s="15">
        <v>1176</v>
      </c>
      <c r="AK61" s="15">
        <v>1176</v>
      </c>
      <c r="AL61" s="15">
        <v>1138.1376513636146</v>
      </c>
      <c r="AM61" s="15">
        <v>1096.0604107918234</v>
      </c>
      <c r="AN61" s="15">
        <v>1056</v>
      </c>
      <c r="AO61" s="15">
        <v>1176</v>
      </c>
      <c r="AP61" s="15">
        <v>1176</v>
      </c>
      <c r="AQ61" s="15">
        <v>1176</v>
      </c>
      <c r="AR61" s="15">
        <v>1176</v>
      </c>
      <c r="AS61" s="15">
        <v>1176</v>
      </c>
      <c r="AT61" s="15">
        <v>1176</v>
      </c>
      <c r="AU61" s="15">
        <v>1176</v>
      </c>
      <c r="AV61" s="15">
        <v>1176</v>
      </c>
      <c r="AW61" s="15">
        <v>1176</v>
      </c>
      <c r="AX61" s="15">
        <v>1176</v>
      </c>
      <c r="AY61" s="15">
        <v>1176</v>
      </c>
      <c r="AZ61" s="15">
        <v>1176</v>
      </c>
      <c r="BA61" s="15">
        <v>1176</v>
      </c>
      <c r="BB61" s="15">
        <v>1176</v>
      </c>
      <c r="BC61" s="15">
        <v>1176</v>
      </c>
      <c r="BD61" s="15">
        <v>1176</v>
      </c>
      <c r="BE61" s="9"/>
      <c r="BF61" s="16">
        <v>2</v>
      </c>
      <c r="BG61" s="22">
        <v>651.30000000000007</v>
      </c>
      <c r="BH61" s="19"/>
      <c r="BI61" s="14">
        <v>12</v>
      </c>
      <c r="BJ61" s="22">
        <v>790.44</v>
      </c>
      <c r="BK61" s="19"/>
      <c r="BL61" s="14">
        <v>22</v>
      </c>
      <c r="BM61" s="22">
        <v>790.44</v>
      </c>
      <c r="BO61" s="13" t="s">
        <v>34</v>
      </c>
      <c r="BP61" s="13" t="s">
        <v>60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37.862348636385377</v>
      </c>
      <c r="BW61" s="15">
        <v>79.939589208176585</v>
      </c>
      <c r="BX61" s="15">
        <v>120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5">
        <v>0</v>
      </c>
      <c r="CH61" s="15">
        <v>0</v>
      </c>
      <c r="CI61" s="15">
        <v>0</v>
      </c>
      <c r="CJ61" s="15">
        <v>0</v>
      </c>
      <c r="CK61" s="15">
        <v>0</v>
      </c>
      <c r="CL61" s="15">
        <v>0</v>
      </c>
      <c r="CM61" s="15">
        <v>0</v>
      </c>
      <c r="CN61" s="15">
        <v>0</v>
      </c>
      <c r="CP61" s="13" t="s">
        <v>34</v>
      </c>
      <c r="CQ61" s="13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</row>
    <row r="62" spans="1:119" x14ac:dyDescent="0.35">
      <c r="A62" s="74"/>
      <c r="B62" s="24" t="s">
        <v>8</v>
      </c>
      <c r="C62" s="6">
        <v>0</v>
      </c>
      <c r="E62" s="13" t="s">
        <v>35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E62" s="13" t="s">
        <v>35</v>
      </c>
      <c r="AF62" s="13" t="s">
        <v>62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9"/>
      <c r="BF62" s="16">
        <v>3</v>
      </c>
      <c r="BG62" s="22">
        <v>651.30000000000007</v>
      </c>
      <c r="BH62" s="19"/>
      <c r="BI62" s="14">
        <v>13</v>
      </c>
      <c r="BJ62" s="22">
        <v>790.44</v>
      </c>
      <c r="BK62" s="19"/>
      <c r="BL62" s="14">
        <v>23</v>
      </c>
      <c r="BM62" s="22">
        <v>790.44</v>
      </c>
      <c r="BO62" s="13" t="s">
        <v>35</v>
      </c>
      <c r="BP62" s="13" t="s">
        <v>62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P62" s="13" t="s">
        <v>35</v>
      </c>
      <c r="CQ62" s="13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</row>
    <row r="63" spans="1:119" x14ac:dyDescent="0.35">
      <c r="A63" s="68" t="s">
        <v>50</v>
      </c>
      <c r="B63" s="69"/>
      <c r="C63" s="6">
        <v>61840</v>
      </c>
      <c r="E63" s="13" t="s">
        <v>36</v>
      </c>
      <c r="F63" s="10">
        <v>1</v>
      </c>
      <c r="G63" s="10">
        <v>1</v>
      </c>
      <c r="H63" s="10">
        <v>1</v>
      </c>
      <c r="I63" s="10">
        <v>1</v>
      </c>
      <c r="J63" s="10">
        <v>1</v>
      </c>
      <c r="K63" s="10">
        <v>1</v>
      </c>
      <c r="L63" s="10">
        <v>1</v>
      </c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>
        <v>1</v>
      </c>
      <c r="S63" s="10">
        <v>1</v>
      </c>
      <c r="T63" s="10">
        <v>1</v>
      </c>
      <c r="U63" s="10">
        <v>1</v>
      </c>
      <c r="V63" s="10">
        <v>1</v>
      </c>
      <c r="W63" s="10">
        <v>1</v>
      </c>
      <c r="X63" s="10">
        <v>1</v>
      </c>
      <c r="Y63" s="10">
        <v>1</v>
      </c>
      <c r="Z63" s="10">
        <v>1</v>
      </c>
      <c r="AA63" s="10">
        <v>1</v>
      </c>
      <c r="AB63" s="10">
        <v>1</v>
      </c>
      <c r="AC63" s="10">
        <v>1</v>
      </c>
      <c r="AE63" s="13" t="s">
        <v>36</v>
      </c>
      <c r="AF63" s="13" t="s">
        <v>63</v>
      </c>
      <c r="AG63" s="15">
        <v>720</v>
      </c>
      <c r="AH63" s="15">
        <v>840.00000000000011</v>
      </c>
      <c r="AI63" s="15">
        <v>915.2017856271649</v>
      </c>
      <c r="AJ63" s="15">
        <v>849</v>
      </c>
      <c r="AK63" s="15">
        <v>849</v>
      </c>
      <c r="AL63" s="15">
        <v>969</v>
      </c>
      <c r="AM63" s="15">
        <v>969</v>
      </c>
      <c r="AN63" s="15">
        <v>960.69193735668614</v>
      </c>
      <c r="AO63" s="15">
        <v>969</v>
      </c>
      <c r="AP63" s="15">
        <v>969</v>
      </c>
      <c r="AQ63" s="15">
        <v>969</v>
      </c>
      <c r="AR63" s="15">
        <v>969</v>
      </c>
      <c r="AS63" s="15">
        <v>969</v>
      </c>
      <c r="AT63" s="15">
        <v>969</v>
      </c>
      <c r="AU63" s="15">
        <v>969</v>
      </c>
      <c r="AV63" s="15">
        <v>969</v>
      </c>
      <c r="AW63" s="15">
        <v>969</v>
      </c>
      <c r="AX63" s="15">
        <v>969</v>
      </c>
      <c r="AY63" s="15">
        <v>969</v>
      </c>
      <c r="AZ63" s="15">
        <v>969</v>
      </c>
      <c r="BA63" s="15">
        <v>969</v>
      </c>
      <c r="BB63" s="15">
        <v>969</v>
      </c>
      <c r="BC63" s="15">
        <v>969</v>
      </c>
      <c r="BD63" s="15">
        <v>969</v>
      </c>
      <c r="BE63" s="9"/>
      <c r="BF63" s="16">
        <v>4</v>
      </c>
      <c r="BG63" s="22">
        <v>651.30000000000007</v>
      </c>
      <c r="BH63" s="19"/>
      <c r="BI63" s="14">
        <v>14</v>
      </c>
      <c r="BJ63" s="22">
        <v>790.44</v>
      </c>
      <c r="BK63" s="19"/>
      <c r="BL63" s="14">
        <v>24</v>
      </c>
      <c r="BM63" s="22">
        <v>651.30000000000007</v>
      </c>
      <c r="BO63" s="13" t="s">
        <v>36</v>
      </c>
      <c r="BP63" s="13" t="s">
        <v>63</v>
      </c>
      <c r="BQ63" s="15">
        <v>249</v>
      </c>
      <c r="BR63" s="15">
        <v>128.99999999999989</v>
      </c>
      <c r="BS63" s="15">
        <v>53.798214372835105</v>
      </c>
      <c r="BT63" s="15">
        <v>120</v>
      </c>
      <c r="BU63" s="15">
        <v>120</v>
      </c>
      <c r="BV63" s="15">
        <v>0</v>
      </c>
      <c r="BW63" s="15">
        <v>0</v>
      </c>
      <c r="BX63" s="15">
        <v>8.3080626433138605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5">
        <v>0</v>
      </c>
      <c r="CH63" s="15">
        <v>0</v>
      </c>
      <c r="CI63" s="15">
        <v>0</v>
      </c>
      <c r="CJ63" s="15">
        <v>0</v>
      </c>
      <c r="CK63" s="15">
        <v>0</v>
      </c>
      <c r="CL63" s="15">
        <v>0</v>
      </c>
      <c r="CM63" s="15">
        <v>0</v>
      </c>
      <c r="CN63" s="15">
        <v>0</v>
      </c>
      <c r="CP63" s="13" t="s">
        <v>36</v>
      </c>
      <c r="CQ63" s="13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</row>
    <row r="64" spans="1:119" x14ac:dyDescent="0.35">
      <c r="A64" s="68" t="s">
        <v>3</v>
      </c>
      <c r="B64" s="69"/>
      <c r="C64" s="6">
        <v>0</v>
      </c>
      <c r="E64" s="13" t="s">
        <v>37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E64" s="13" t="s">
        <v>37</v>
      </c>
      <c r="AF64" s="13" t="s">
        <v>64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9"/>
      <c r="BF64" s="16">
        <v>5</v>
      </c>
      <c r="BG64" s="22">
        <v>651.30000000000007</v>
      </c>
      <c r="BH64" s="19"/>
      <c r="BI64" s="14">
        <v>15</v>
      </c>
      <c r="BJ64" s="22">
        <v>790.44</v>
      </c>
      <c r="BK64" s="20"/>
      <c r="BL64" s="20"/>
      <c r="BM64" s="20"/>
      <c r="BO64" s="13" t="s">
        <v>37</v>
      </c>
      <c r="BP64" s="13" t="s">
        <v>64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5">
        <v>0</v>
      </c>
      <c r="CP64" s="13" t="s">
        <v>37</v>
      </c>
      <c r="CQ64" s="13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</row>
    <row r="65" spans="1:119" x14ac:dyDescent="0.35">
      <c r="A65" s="70" t="s">
        <v>4</v>
      </c>
      <c r="B65" s="71"/>
      <c r="C65" s="25">
        <f>SUM(C59:C64)</f>
        <v>4029223.2399999998</v>
      </c>
      <c r="E65" s="13" t="s">
        <v>38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E65" s="13" t="s">
        <v>38</v>
      </c>
      <c r="AF65" s="13" t="s">
        <v>65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5">
        <v>0</v>
      </c>
      <c r="AP65" s="15">
        <v>0</v>
      </c>
      <c r="AQ65" s="15">
        <v>0</v>
      </c>
      <c r="AR65" s="15">
        <v>0</v>
      </c>
      <c r="AS65" s="15">
        <v>0</v>
      </c>
      <c r="AT65" s="15">
        <v>0</v>
      </c>
      <c r="AU65" s="15">
        <v>0</v>
      </c>
      <c r="AV65" s="15">
        <v>0</v>
      </c>
      <c r="AW65" s="15">
        <v>0</v>
      </c>
      <c r="AX65" s="15">
        <v>0</v>
      </c>
      <c r="AY65" s="15">
        <v>0</v>
      </c>
      <c r="AZ65" s="15">
        <v>0</v>
      </c>
      <c r="BA65" s="15">
        <v>0</v>
      </c>
      <c r="BB65" s="15">
        <v>0</v>
      </c>
      <c r="BC65" s="15">
        <v>0</v>
      </c>
      <c r="BD65" s="15">
        <v>0</v>
      </c>
      <c r="BE65" s="9"/>
      <c r="BF65" s="16">
        <v>6</v>
      </c>
      <c r="BG65" s="22">
        <v>651.30000000000007</v>
      </c>
      <c r="BH65" s="19"/>
      <c r="BI65" s="14">
        <v>16</v>
      </c>
      <c r="BJ65" s="22">
        <v>790.44</v>
      </c>
      <c r="BK65" s="20"/>
      <c r="BL65" s="20"/>
      <c r="BM65" s="20"/>
      <c r="BO65" s="13" t="s">
        <v>38</v>
      </c>
      <c r="BP65" s="13" t="s">
        <v>65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5">
        <v>0</v>
      </c>
      <c r="CH65" s="15">
        <v>0</v>
      </c>
      <c r="CI65" s="15">
        <v>0</v>
      </c>
      <c r="CJ65" s="15">
        <v>0</v>
      </c>
      <c r="CK65" s="15">
        <v>0</v>
      </c>
      <c r="CL65" s="15">
        <v>0</v>
      </c>
      <c r="CM65" s="15">
        <v>0</v>
      </c>
      <c r="CN65" s="15">
        <v>0</v>
      </c>
      <c r="CP65" s="13" t="s">
        <v>38</v>
      </c>
      <c r="CQ65" s="13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</row>
    <row r="66" spans="1:119" x14ac:dyDescent="0.35">
      <c r="E66" s="13" t="s">
        <v>39</v>
      </c>
      <c r="F66" s="10">
        <v>1</v>
      </c>
      <c r="G66" s="10">
        <v>1</v>
      </c>
      <c r="H66" s="10">
        <v>1</v>
      </c>
      <c r="I66" s="10">
        <v>1</v>
      </c>
      <c r="J66" s="10">
        <v>1</v>
      </c>
      <c r="K66" s="10">
        <v>1</v>
      </c>
      <c r="L66" s="10">
        <v>1</v>
      </c>
      <c r="M66" s="10">
        <v>1</v>
      </c>
      <c r="N66" s="10">
        <v>1</v>
      </c>
      <c r="O66" s="10">
        <v>1</v>
      </c>
      <c r="P66" s="10">
        <v>1</v>
      </c>
      <c r="Q66" s="10">
        <v>1</v>
      </c>
      <c r="R66" s="10">
        <v>1</v>
      </c>
      <c r="S66" s="10">
        <v>1</v>
      </c>
      <c r="T66" s="10">
        <v>1</v>
      </c>
      <c r="U66" s="10">
        <v>1</v>
      </c>
      <c r="V66" s="10">
        <v>1</v>
      </c>
      <c r="W66" s="10">
        <v>1</v>
      </c>
      <c r="X66" s="10">
        <v>1</v>
      </c>
      <c r="Y66" s="10">
        <v>1</v>
      </c>
      <c r="Z66" s="10">
        <v>1</v>
      </c>
      <c r="AA66" s="10">
        <v>1</v>
      </c>
      <c r="AB66" s="10">
        <v>1</v>
      </c>
      <c r="AC66" s="10">
        <v>1</v>
      </c>
      <c r="AE66" s="13" t="s">
        <v>39</v>
      </c>
      <c r="AF66" s="13" t="s">
        <v>66</v>
      </c>
      <c r="AG66" s="15">
        <v>401.67683465873051</v>
      </c>
      <c r="AH66" s="15">
        <v>289.16845392008679</v>
      </c>
      <c r="AI66" s="15">
        <v>250</v>
      </c>
      <c r="AJ66" s="15">
        <v>250</v>
      </c>
      <c r="AK66" s="15">
        <v>250</v>
      </c>
      <c r="AL66" s="15">
        <v>250</v>
      </c>
      <c r="AM66" s="15">
        <v>250</v>
      </c>
      <c r="AN66" s="15">
        <v>250</v>
      </c>
      <c r="AO66" s="15">
        <v>428.45406059423294</v>
      </c>
      <c r="AP66" s="15">
        <v>396.22191296287338</v>
      </c>
      <c r="AQ66" s="15">
        <v>530.13455969166216</v>
      </c>
      <c r="AR66" s="15">
        <v>581.26575352490681</v>
      </c>
      <c r="AS66" s="15">
        <v>281.26575352490681</v>
      </c>
      <c r="AT66" s="15">
        <v>356.57701078206583</v>
      </c>
      <c r="AU66" s="15">
        <v>656.57701078206583</v>
      </c>
      <c r="AV66" s="15">
        <v>611.73914377713891</v>
      </c>
      <c r="AW66" s="15">
        <v>549.59880128799387</v>
      </c>
      <c r="AX66" s="15">
        <v>449.70684441625644</v>
      </c>
      <c r="AY66" s="15">
        <v>381.55000000000064</v>
      </c>
      <c r="AZ66" s="15">
        <v>681.55000000000064</v>
      </c>
      <c r="BA66" s="15">
        <v>629.83454505537475</v>
      </c>
      <c r="BB66" s="15">
        <v>523.44894325998985</v>
      </c>
      <c r="BC66" s="15">
        <v>252.66895789627824</v>
      </c>
      <c r="BD66" s="15">
        <v>393.25650192711146</v>
      </c>
      <c r="BE66" s="9"/>
      <c r="BF66" s="16">
        <v>7</v>
      </c>
      <c r="BG66" s="22">
        <v>651.30000000000007</v>
      </c>
      <c r="BH66" s="19"/>
      <c r="BI66" s="14">
        <v>17</v>
      </c>
      <c r="BJ66" s="22">
        <v>790.44</v>
      </c>
      <c r="BK66" s="20"/>
      <c r="BL66" s="20"/>
      <c r="BM66" s="20"/>
      <c r="BO66" s="13" t="s">
        <v>39</v>
      </c>
      <c r="BP66" s="13" t="s">
        <v>66</v>
      </c>
      <c r="BQ66" s="15">
        <v>693.32316534126949</v>
      </c>
      <c r="BR66" s="15">
        <v>805.83154607991321</v>
      </c>
      <c r="BS66" s="15">
        <v>845</v>
      </c>
      <c r="BT66" s="15">
        <v>845</v>
      </c>
      <c r="BU66" s="15">
        <v>845</v>
      </c>
      <c r="BV66" s="15">
        <v>845</v>
      </c>
      <c r="BW66" s="15">
        <v>845</v>
      </c>
      <c r="BX66" s="15">
        <v>845</v>
      </c>
      <c r="BY66" s="15">
        <v>666.54593940576706</v>
      </c>
      <c r="BZ66" s="15">
        <v>698.77808703712662</v>
      </c>
      <c r="CA66" s="15">
        <v>564.86544030833784</v>
      </c>
      <c r="CB66" s="15">
        <v>513.73424647509319</v>
      </c>
      <c r="CC66" s="15">
        <v>813.73424647509319</v>
      </c>
      <c r="CD66" s="15">
        <v>738.42298921793417</v>
      </c>
      <c r="CE66" s="15">
        <v>438.42298921793417</v>
      </c>
      <c r="CF66" s="15">
        <v>483.26085622286109</v>
      </c>
      <c r="CG66" s="15">
        <v>545.40119871200613</v>
      </c>
      <c r="CH66" s="15">
        <v>645.29315558374356</v>
      </c>
      <c r="CI66" s="15">
        <v>713.44999999999936</v>
      </c>
      <c r="CJ66" s="15">
        <v>413.44999999999936</v>
      </c>
      <c r="CK66" s="15">
        <v>465.16545494462525</v>
      </c>
      <c r="CL66" s="15">
        <v>571.55105674001015</v>
      </c>
      <c r="CM66" s="15">
        <v>842.33104210372176</v>
      </c>
      <c r="CN66" s="15">
        <v>701.74349807288854</v>
      </c>
      <c r="CP66" s="13" t="s">
        <v>39</v>
      </c>
      <c r="CQ66" s="13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</row>
    <row r="67" spans="1:119" x14ac:dyDescent="0.35">
      <c r="E67" s="13" t="s">
        <v>40</v>
      </c>
      <c r="F67" s="10">
        <v>1</v>
      </c>
      <c r="G67" s="10">
        <v>1</v>
      </c>
      <c r="H67" s="10">
        <v>1</v>
      </c>
      <c r="I67" s="10">
        <v>1</v>
      </c>
      <c r="J67" s="10">
        <v>1</v>
      </c>
      <c r="K67" s="10">
        <v>1</v>
      </c>
      <c r="L67" s="10">
        <v>1</v>
      </c>
      <c r="M67" s="10">
        <v>1</v>
      </c>
      <c r="N67" s="10">
        <v>1</v>
      </c>
      <c r="O67" s="10">
        <v>1</v>
      </c>
      <c r="P67" s="10">
        <v>1</v>
      </c>
      <c r="Q67" s="10">
        <v>1</v>
      </c>
      <c r="R67" s="10">
        <v>1</v>
      </c>
      <c r="S67" s="10">
        <v>1</v>
      </c>
      <c r="T67" s="10">
        <v>1</v>
      </c>
      <c r="U67" s="10">
        <v>1</v>
      </c>
      <c r="V67" s="10">
        <v>1</v>
      </c>
      <c r="W67" s="10">
        <v>1</v>
      </c>
      <c r="X67" s="10">
        <v>1</v>
      </c>
      <c r="Y67" s="10">
        <v>1</v>
      </c>
      <c r="Z67" s="10">
        <v>1</v>
      </c>
      <c r="AA67" s="10">
        <v>1</v>
      </c>
      <c r="AB67" s="10">
        <v>1</v>
      </c>
      <c r="AC67" s="10">
        <v>1</v>
      </c>
      <c r="AE67" s="13" t="s">
        <v>40</v>
      </c>
      <c r="AF67" s="13" t="s">
        <v>67</v>
      </c>
      <c r="AG67" s="15">
        <v>548.00000000000011</v>
      </c>
      <c r="AH67" s="15">
        <v>248.00000000000011</v>
      </c>
      <c r="AI67" s="15">
        <v>248</v>
      </c>
      <c r="AJ67" s="15">
        <v>248</v>
      </c>
      <c r="AK67" s="15">
        <v>248</v>
      </c>
      <c r="AL67" s="15">
        <v>248</v>
      </c>
      <c r="AM67" s="15">
        <v>248</v>
      </c>
      <c r="AN67" s="15">
        <v>248</v>
      </c>
      <c r="AO67" s="15">
        <v>248</v>
      </c>
      <c r="AP67" s="15">
        <v>248</v>
      </c>
      <c r="AQ67" s="15">
        <v>248</v>
      </c>
      <c r="AR67" s="15">
        <v>248</v>
      </c>
      <c r="AS67" s="15">
        <v>248</v>
      </c>
      <c r="AT67" s="15">
        <v>396.38424159633087</v>
      </c>
      <c r="AU67" s="15">
        <v>248</v>
      </c>
      <c r="AV67" s="15">
        <v>248</v>
      </c>
      <c r="AW67" s="15">
        <v>248</v>
      </c>
      <c r="AX67" s="15">
        <v>248</v>
      </c>
      <c r="AY67" s="15">
        <v>248</v>
      </c>
      <c r="AZ67" s="15">
        <v>248</v>
      </c>
      <c r="BA67" s="15">
        <v>248</v>
      </c>
      <c r="BB67" s="15">
        <v>248</v>
      </c>
      <c r="BC67" s="15">
        <v>248</v>
      </c>
      <c r="BD67" s="15">
        <v>248</v>
      </c>
      <c r="BE67" s="9"/>
      <c r="BF67" s="16">
        <v>8</v>
      </c>
      <c r="BG67" s="22">
        <v>651.30000000000007</v>
      </c>
      <c r="BH67" s="19"/>
      <c r="BI67" s="14">
        <v>18</v>
      </c>
      <c r="BJ67" s="22">
        <v>790.44</v>
      </c>
      <c r="BK67" s="20"/>
      <c r="BL67" s="20"/>
      <c r="BM67" s="20"/>
      <c r="BO67" s="13" t="s">
        <v>40</v>
      </c>
      <c r="BP67" s="13" t="s">
        <v>67</v>
      </c>
      <c r="BQ67" s="15">
        <v>261.99999999999989</v>
      </c>
      <c r="BR67" s="15">
        <v>561.99999999999989</v>
      </c>
      <c r="BS67" s="15">
        <v>562</v>
      </c>
      <c r="BT67" s="15">
        <v>562</v>
      </c>
      <c r="BU67" s="15">
        <v>562</v>
      </c>
      <c r="BV67" s="15">
        <v>562</v>
      </c>
      <c r="BW67" s="15">
        <v>562</v>
      </c>
      <c r="BX67" s="15">
        <v>562</v>
      </c>
      <c r="BY67" s="15">
        <v>562</v>
      </c>
      <c r="BZ67" s="15">
        <v>562</v>
      </c>
      <c r="CA67" s="15">
        <v>562</v>
      </c>
      <c r="CB67" s="15">
        <v>562</v>
      </c>
      <c r="CC67" s="15">
        <v>562</v>
      </c>
      <c r="CD67" s="15">
        <v>413.61575840366913</v>
      </c>
      <c r="CE67" s="15">
        <v>562</v>
      </c>
      <c r="CF67" s="15">
        <v>562</v>
      </c>
      <c r="CG67" s="15">
        <v>562</v>
      </c>
      <c r="CH67" s="15">
        <v>562</v>
      </c>
      <c r="CI67" s="15">
        <v>562</v>
      </c>
      <c r="CJ67" s="15">
        <v>562</v>
      </c>
      <c r="CK67" s="15">
        <v>562</v>
      </c>
      <c r="CL67" s="15">
        <v>562</v>
      </c>
      <c r="CM67" s="15">
        <v>562</v>
      </c>
      <c r="CN67" s="15">
        <v>562</v>
      </c>
      <c r="CP67" s="13" t="s">
        <v>40</v>
      </c>
      <c r="CQ67" s="13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</row>
    <row r="68" spans="1:119" x14ac:dyDescent="0.35">
      <c r="E68" s="13" t="s">
        <v>41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1</v>
      </c>
      <c r="P68" s="10">
        <v>1</v>
      </c>
      <c r="Q68" s="10">
        <v>1</v>
      </c>
      <c r="R68" s="10">
        <v>1</v>
      </c>
      <c r="S68" s="10">
        <v>1</v>
      </c>
      <c r="T68" s="10">
        <v>1</v>
      </c>
      <c r="U68" s="10">
        <v>1</v>
      </c>
      <c r="V68" s="10">
        <v>1</v>
      </c>
      <c r="W68" s="10">
        <v>1</v>
      </c>
      <c r="X68" s="10">
        <v>1</v>
      </c>
      <c r="Y68" s="10">
        <v>1</v>
      </c>
      <c r="Z68" s="10">
        <v>1</v>
      </c>
      <c r="AA68" s="10">
        <v>1</v>
      </c>
      <c r="AB68" s="10">
        <v>1</v>
      </c>
      <c r="AC68" s="10">
        <v>0</v>
      </c>
      <c r="AE68" s="13" t="s">
        <v>41</v>
      </c>
      <c r="AF68" s="13" t="s">
        <v>68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5">
        <v>0</v>
      </c>
      <c r="AP68" s="15">
        <v>347.85</v>
      </c>
      <c r="AQ68" s="15">
        <v>347.85</v>
      </c>
      <c r="AR68" s="15">
        <v>347.85</v>
      </c>
      <c r="AS68" s="15">
        <v>397.31883543933191</v>
      </c>
      <c r="AT68" s="15">
        <v>347.85</v>
      </c>
      <c r="AU68" s="15">
        <v>347.85</v>
      </c>
      <c r="AV68" s="15">
        <v>347.85</v>
      </c>
      <c r="AW68" s="15">
        <v>347.85</v>
      </c>
      <c r="AX68" s="15">
        <v>347.85</v>
      </c>
      <c r="AY68" s="15">
        <v>467.72229936088161</v>
      </c>
      <c r="AZ68" s="15">
        <v>347.85</v>
      </c>
      <c r="BA68" s="15">
        <v>347.85</v>
      </c>
      <c r="BB68" s="15">
        <v>347.85</v>
      </c>
      <c r="BC68" s="15">
        <v>347.85</v>
      </c>
      <c r="BD68" s="15">
        <v>0</v>
      </c>
      <c r="BE68" s="9"/>
      <c r="BF68" s="16">
        <v>9</v>
      </c>
      <c r="BG68" s="22">
        <v>651.30000000000007</v>
      </c>
      <c r="BH68" s="19"/>
      <c r="BI68" s="14">
        <v>19</v>
      </c>
      <c r="BJ68" s="22">
        <v>790.44</v>
      </c>
      <c r="BK68" s="20"/>
      <c r="BL68" s="20"/>
      <c r="BM68" s="20"/>
      <c r="BO68" s="13" t="s">
        <v>41</v>
      </c>
      <c r="BP68" s="13" t="s">
        <v>68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425.15</v>
      </c>
      <c r="CA68" s="15">
        <v>425.15</v>
      </c>
      <c r="CB68" s="15">
        <v>425.15</v>
      </c>
      <c r="CC68" s="15">
        <v>375.68116456066809</v>
      </c>
      <c r="CD68" s="15">
        <v>425.15</v>
      </c>
      <c r="CE68" s="15">
        <v>425.15</v>
      </c>
      <c r="CF68" s="15">
        <v>425.15</v>
      </c>
      <c r="CG68" s="15">
        <v>425.15</v>
      </c>
      <c r="CH68" s="15">
        <v>425.15</v>
      </c>
      <c r="CI68" s="15">
        <v>305.27770063911839</v>
      </c>
      <c r="CJ68" s="15">
        <v>425.15</v>
      </c>
      <c r="CK68" s="15">
        <v>425.15</v>
      </c>
      <c r="CL68" s="15">
        <v>425.15</v>
      </c>
      <c r="CM68" s="15">
        <v>425.15</v>
      </c>
      <c r="CN68" s="15">
        <v>0</v>
      </c>
      <c r="CP68" s="13" t="s">
        <v>41</v>
      </c>
      <c r="CQ68" s="13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</row>
    <row r="69" spans="1:119" x14ac:dyDescent="0.35">
      <c r="E69" s="13" t="s">
        <v>42</v>
      </c>
      <c r="F69" s="10">
        <v>1</v>
      </c>
      <c r="G69" s="10">
        <v>1</v>
      </c>
      <c r="H69" s="10">
        <v>1</v>
      </c>
      <c r="I69" s="10">
        <v>1</v>
      </c>
      <c r="J69" s="10">
        <v>1</v>
      </c>
      <c r="K69" s="10">
        <v>1</v>
      </c>
      <c r="L69" s="10">
        <v>1</v>
      </c>
      <c r="M69" s="10">
        <v>1</v>
      </c>
      <c r="N69" s="10">
        <v>1</v>
      </c>
      <c r="O69" s="10">
        <v>1</v>
      </c>
      <c r="P69" s="10">
        <v>1</v>
      </c>
      <c r="Q69" s="10">
        <v>1</v>
      </c>
      <c r="R69" s="10">
        <v>1</v>
      </c>
      <c r="S69" s="10">
        <v>1</v>
      </c>
      <c r="T69" s="10">
        <v>1</v>
      </c>
      <c r="U69" s="10">
        <v>1</v>
      </c>
      <c r="V69" s="10">
        <v>1</v>
      </c>
      <c r="W69" s="10">
        <v>1</v>
      </c>
      <c r="X69" s="10">
        <v>1</v>
      </c>
      <c r="Y69" s="10">
        <v>1</v>
      </c>
      <c r="Z69" s="10">
        <v>1</v>
      </c>
      <c r="AA69" s="10">
        <v>1</v>
      </c>
      <c r="AB69" s="10">
        <v>1</v>
      </c>
      <c r="AC69" s="10">
        <v>1</v>
      </c>
      <c r="AE69" s="13" t="s">
        <v>42</v>
      </c>
      <c r="AF69" s="13" t="s">
        <v>61</v>
      </c>
      <c r="AG69" s="15">
        <v>660</v>
      </c>
      <c r="AH69" s="15">
        <v>780.00000000000011</v>
      </c>
      <c r="AI69" s="15">
        <v>660.00000000000011</v>
      </c>
      <c r="AJ69" s="15">
        <v>750</v>
      </c>
      <c r="AK69" s="15">
        <v>870</v>
      </c>
      <c r="AL69" s="15">
        <v>870</v>
      </c>
      <c r="AM69" s="15">
        <v>870</v>
      </c>
      <c r="AN69" s="15">
        <v>870</v>
      </c>
      <c r="AO69" s="15">
        <v>870</v>
      </c>
      <c r="AP69" s="15">
        <v>870</v>
      </c>
      <c r="AQ69" s="15">
        <v>870</v>
      </c>
      <c r="AR69" s="15">
        <v>870</v>
      </c>
      <c r="AS69" s="15">
        <v>870</v>
      </c>
      <c r="AT69" s="15">
        <v>870</v>
      </c>
      <c r="AU69" s="15">
        <v>870</v>
      </c>
      <c r="AV69" s="15">
        <v>870</v>
      </c>
      <c r="AW69" s="15">
        <v>870</v>
      </c>
      <c r="AX69" s="15">
        <v>870</v>
      </c>
      <c r="AY69" s="15">
        <v>870</v>
      </c>
      <c r="AZ69" s="15">
        <v>870</v>
      </c>
      <c r="BA69" s="15">
        <v>870</v>
      </c>
      <c r="BB69" s="15">
        <v>870</v>
      </c>
      <c r="BC69" s="15">
        <v>870</v>
      </c>
      <c r="BD69" s="15">
        <v>870</v>
      </c>
      <c r="BE69" s="9"/>
      <c r="BF69" s="16">
        <v>10</v>
      </c>
      <c r="BG69" s="22">
        <v>790.44</v>
      </c>
      <c r="BH69" s="19"/>
      <c r="BI69" s="14">
        <v>20</v>
      </c>
      <c r="BJ69" s="22">
        <v>790.44</v>
      </c>
      <c r="BK69" s="20"/>
      <c r="BL69" s="20"/>
      <c r="BM69" s="20"/>
      <c r="BO69" s="13" t="s">
        <v>42</v>
      </c>
      <c r="BP69" s="13" t="s">
        <v>61</v>
      </c>
      <c r="BQ69" s="15">
        <v>210</v>
      </c>
      <c r="BR69" s="15">
        <v>89.999999999999886</v>
      </c>
      <c r="BS69" s="15">
        <v>209.99999999999989</v>
      </c>
      <c r="BT69" s="15">
        <v>120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  <c r="CN69" s="15">
        <v>0</v>
      </c>
      <c r="CP69" s="13" t="s">
        <v>42</v>
      </c>
      <c r="CQ69" s="13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</row>
    <row r="70" spans="1:119" x14ac:dyDescent="0.35">
      <c r="E70" s="13" t="s">
        <v>43</v>
      </c>
      <c r="F70" s="10">
        <v>1</v>
      </c>
      <c r="G70" s="10">
        <v>1</v>
      </c>
      <c r="H70" s="10">
        <v>1</v>
      </c>
      <c r="I70" s="10">
        <v>1</v>
      </c>
      <c r="J70" s="10">
        <v>1</v>
      </c>
      <c r="K70" s="10">
        <v>1</v>
      </c>
      <c r="L70" s="10">
        <v>1</v>
      </c>
      <c r="M70" s="10">
        <v>1</v>
      </c>
      <c r="N70" s="10">
        <v>1</v>
      </c>
      <c r="O70" s="10">
        <v>1</v>
      </c>
      <c r="P70" s="10">
        <v>1</v>
      </c>
      <c r="Q70" s="10">
        <v>1</v>
      </c>
      <c r="R70" s="10">
        <v>1</v>
      </c>
      <c r="S70" s="10">
        <v>1</v>
      </c>
      <c r="T70" s="10">
        <v>1</v>
      </c>
      <c r="U70" s="10">
        <v>1</v>
      </c>
      <c r="V70" s="10">
        <v>1</v>
      </c>
      <c r="W70" s="10">
        <v>1</v>
      </c>
      <c r="X70" s="10">
        <v>1</v>
      </c>
      <c r="Y70" s="10">
        <v>1</v>
      </c>
      <c r="Z70" s="10">
        <v>1</v>
      </c>
      <c r="AA70" s="10">
        <v>1</v>
      </c>
      <c r="AB70" s="10">
        <v>1</v>
      </c>
      <c r="AC70" s="10">
        <v>1</v>
      </c>
      <c r="AE70" s="13" t="s">
        <v>43</v>
      </c>
      <c r="AF70" s="13" t="s">
        <v>69</v>
      </c>
      <c r="AG70" s="15">
        <v>720</v>
      </c>
      <c r="AH70" s="15">
        <v>840</v>
      </c>
      <c r="AI70" s="15">
        <v>840</v>
      </c>
      <c r="AJ70" s="15">
        <v>736.38337122505754</v>
      </c>
      <c r="AK70" s="15">
        <v>616.38337122505754</v>
      </c>
      <c r="AL70" s="15">
        <v>736.38337122505754</v>
      </c>
      <c r="AM70" s="15">
        <v>840</v>
      </c>
      <c r="AN70" s="15">
        <v>840</v>
      </c>
      <c r="AO70" s="15">
        <v>840</v>
      </c>
      <c r="AP70" s="15">
        <v>840</v>
      </c>
      <c r="AQ70" s="15">
        <v>840</v>
      </c>
      <c r="AR70" s="15">
        <v>840</v>
      </c>
      <c r="AS70" s="15">
        <v>840</v>
      </c>
      <c r="AT70" s="15">
        <v>840</v>
      </c>
      <c r="AU70" s="15">
        <v>840</v>
      </c>
      <c r="AV70" s="15">
        <v>840</v>
      </c>
      <c r="AW70" s="15">
        <v>840</v>
      </c>
      <c r="AX70" s="15">
        <v>840</v>
      </c>
      <c r="AY70" s="15">
        <v>840</v>
      </c>
      <c r="AZ70" s="15">
        <v>840</v>
      </c>
      <c r="BA70" s="15">
        <v>840</v>
      </c>
      <c r="BB70" s="15">
        <v>840</v>
      </c>
      <c r="BC70" s="15">
        <v>840</v>
      </c>
      <c r="BD70" s="15">
        <v>840</v>
      </c>
      <c r="BE70" s="9"/>
      <c r="BF70" s="21"/>
      <c r="BH70" s="20"/>
      <c r="BI70" s="20"/>
      <c r="BK70" s="20"/>
      <c r="BL70" s="20"/>
      <c r="BM70" s="20"/>
      <c r="BO70" s="13" t="s">
        <v>43</v>
      </c>
      <c r="BP70" s="13" t="s">
        <v>69</v>
      </c>
      <c r="BQ70" s="15">
        <v>120</v>
      </c>
      <c r="BR70" s="15">
        <v>0</v>
      </c>
      <c r="BS70" s="15">
        <v>0</v>
      </c>
      <c r="BT70" s="15">
        <v>103.61662877494246</v>
      </c>
      <c r="BU70" s="15">
        <v>223.61662877494246</v>
      </c>
      <c r="BV70" s="15">
        <v>103.61662877494246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P70" s="13" t="s">
        <v>43</v>
      </c>
      <c r="CQ70" s="13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</row>
    <row r="71" spans="1:119" x14ac:dyDescent="0.35">
      <c r="BE71" s="9"/>
    </row>
    <row r="72" spans="1:119" x14ac:dyDescent="0.35">
      <c r="BE72" s="9"/>
    </row>
    <row r="73" spans="1:119" x14ac:dyDescent="0.35">
      <c r="A73" s="23" t="s">
        <v>56</v>
      </c>
      <c r="BE73" s="9"/>
    </row>
    <row r="74" spans="1:119" x14ac:dyDescent="0.35">
      <c r="A74" s="23" t="s">
        <v>59</v>
      </c>
      <c r="BE74" s="9"/>
    </row>
    <row r="75" spans="1:119" x14ac:dyDescent="0.35">
      <c r="BE75" s="9"/>
    </row>
    <row r="76" spans="1:119" x14ac:dyDescent="0.35">
      <c r="A76" t="s">
        <v>51</v>
      </c>
      <c r="E76" t="s">
        <v>33</v>
      </c>
      <c r="AE76" t="s">
        <v>45</v>
      </c>
      <c r="BE76" s="9"/>
      <c r="BF76" t="s">
        <v>48</v>
      </c>
      <c r="BO76" t="s">
        <v>46</v>
      </c>
      <c r="CP76" t="s">
        <v>47</v>
      </c>
    </row>
    <row r="77" spans="1:119" x14ac:dyDescent="0.35">
      <c r="A77" s="72" t="s">
        <v>1</v>
      </c>
      <c r="B77" s="24" t="s">
        <v>5</v>
      </c>
      <c r="C77" s="6">
        <v>0</v>
      </c>
      <c r="E77" s="66" t="s">
        <v>44</v>
      </c>
      <c r="F77" s="66" t="s">
        <v>22</v>
      </c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E77" s="62" t="s">
        <v>44</v>
      </c>
      <c r="AF77" s="63"/>
      <c r="AG77" s="66" t="s">
        <v>22</v>
      </c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9"/>
      <c r="BF77" s="11" t="s">
        <v>22</v>
      </c>
      <c r="BG77" s="11" t="s">
        <v>49</v>
      </c>
      <c r="BH77" s="17"/>
      <c r="BI77" s="11" t="s">
        <v>22</v>
      </c>
      <c r="BJ77" s="11" t="s">
        <v>49</v>
      </c>
      <c r="BK77" s="17"/>
      <c r="BL77" s="11" t="s">
        <v>22</v>
      </c>
      <c r="BM77" s="11" t="s">
        <v>49</v>
      </c>
      <c r="BO77" s="62" t="s">
        <v>44</v>
      </c>
      <c r="BP77" s="63"/>
      <c r="BQ77" s="66" t="s">
        <v>22</v>
      </c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P77" s="62" t="s">
        <v>44</v>
      </c>
      <c r="CQ77" s="63"/>
      <c r="CR77" s="66" t="s">
        <v>22</v>
      </c>
      <c r="CS77" s="66"/>
      <c r="CT77" s="66"/>
      <c r="CU77" s="66"/>
      <c r="CV77" s="66"/>
      <c r="CW77" s="66"/>
      <c r="CX77" s="66"/>
      <c r="CY77" s="66"/>
      <c r="CZ77" s="66"/>
      <c r="DA77" s="66"/>
      <c r="DB77" s="66"/>
      <c r="DC77" s="66"/>
      <c r="DD77" s="66"/>
      <c r="DE77" s="66"/>
      <c r="DF77" s="66"/>
      <c r="DG77" s="66"/>
      <c r="DH77" s="66"/>
      <c r="DI77" s="66"/>
      <c r="DJ77" s="66"/>
      <c r="DK77" s="66"/>
      <c r="DL77" s="66"/>
      <c r="DM77" s="66"/>
      <c r="DN77" s="66"/>
      <c r="DO77" s="66"/>
    </row>
    <row r="78" spans="1:119" x14ac:dyDescent="0.35">
      <c r="A78" s="73"/>
      <c r="B78" s="24" t="s">
        <v>6</v>
      </c>
      <c r="C78" s="6">
        <v>3965848.23</v>
      </c>
      <c r="E78" s="66"/>
      <c r="F78" s="12">
        <v>1</v>
      </c>
      <c r="G78" s="12">
        <v>2</v>
      </c>
      <c r="H78" s="12">
        <v>3</v>
      </c>
      <c r="I78" s="12">
        <v>4</v>
      </c>
      <c r="J78" s="12">
        <v>5</v>
      </c>
      <c r="K78" s="12">
        <v>6</v>
      </c>
      <c r="L78" s="12">
        <v>7</v>
      </c>
      <c r="M78" s="12">
        <v>8</v>
      </c>
      <c r="N78" s="12">
        <v>9</v>
      </c>
      <c r="O78" s="12">
        <v>10</v>
      </c>
      <c r="P78" s="12">
        <v>11</v>
      </c>
      <c r="Q78" s="12">
        <v>12</v>
      </c>
      <c r="R78" s="12">
        <v>13</v>
      </c>
      <c r="S78" s="12">
        <v>14</v>
      </c>
      <c r="T78" s="12">
        <v>15</v>
      </c>
      <c r="U78" s="12">
        <v>16</v>
      </c>
      <c r="V78" s="12">
        <v>17</v>
      </c>
      <c r="W78" s="12">
        <v>18</v>
      </c>
      <c r="X78" s="12">
        <v>19</v>
      </c>
      <c r="Y78" s="12">
        <v>20</v>
      </c>
      <c r="Z78" s="12">
        <v>21</v>
      </c>
      <c r="AA78" s="12">
        <v>22</v>
      </c>
      <c r="AB78" s="12">
        <v>23</v>
      </c>
      <c r="AC78" s="12">
        <v>24</v>
      </c>
      <c r="AE78" s="64"/>
      <c r="AF78" s="65"/>
      <c r="AG78" s="14">
        <v>1</v>
      </c>
      <c r="AH78" s="14">
        <v>2</v>
      </c>
      <c r="AI78" s="14">
        <v>3</v>
      </c>
      <c r="AJ78" s="14">
        <v>4</v>
      </c>
      <c r="AK78" s="14">
        <v>5</v>
      </c>
      <c r="AL78" s="14">
        <v>6</v>
      </c>
      <c r="AM78" s="14">
        <v>7</v>
      </c>
      <c r="AN78" s="14">
        <v>8</v>
      </c>
      <c r="AO78" s="14">
        <v>9</v>
      </c>
      <c r="AP78" s="14">
        <v>10</v>
      </c>
      <c r="AQ78" s="14">
        <v>11</v>
      </c>
      <c r="AR78" s="14">
        <v>12</v>
      </c>
      <c r="AS78" s="14">
        <v>13</v>
      </c>
      <c r="AT78" s="14">
        <v>14</v>
      </c>
      <c r="AU78" s="14">
        <v>15</v>
      </c>
      <c r="AV78" s="14">
        <v>16</v>
      </c>
      <c r="AW78" s="14">
        <v>17</v>
      </c>
      <c r="AX78" s="14">
        <v>18</v>
      </c>
      <c r="AY78" s="14">
        <v>19</v>
      </c>
      <c r="AZ78" s="14">
        <v>20</v>
      </c>
      <c r="BA78" s="14">
        <v>21</v>
      </c>
      <c r="BB78" s="14">
        <v>22</v>
      </c>
      <c r="BC78" s="14">
        <v>23</v>
      </c>
      <c r="BD78" s="14">
        <v>24</v>
      </c>
      <c r="BE78" s="9"/>
      <c r="BF78" s="11">
        <v>1</v>
      </c>
      <c r="BG78" s="22">
        <v>992.94</v>
      </c>
      <c r="BH78" s="18"/>
      <c r="BI78" s="14">
        <v>11</v>
      </c>
      <c r="BJ78" s="22">
        <v>853.80000000000007</v>
      </c>
      <c r="BK78" s="18"/>
      <c r="BL78" s="14">
        <v>21</v>
      </c>
      <c r="BM78" s="22">
        <v>853.80000000000007</v>
      </c>
      <c r="BO78" s="64"/>
      <c r="BP78" s="65"/>
      <c r="BQ78" s="14">
        <v>1</v>
      </c>
      <c r="BR78" s="14">
        <v>2</v>
      </c>
      <c r="BS78" s="14">
        <v>3</v>
      </c>
      <c r="BT78" s="14">
        <v>4</v>
      </c>
      <c r="BU78" s="14">
        <v>5</v>
      </c>
      <c r="BV78" s="14">
        <v>6</v>
      </c>
      <c r="BW78" s="14">
        <v>7</v>
      </c>
      <c r="BX78" s="14">
        <v>8</v>
      </c>
      <c r="BY78" s="14">
        <v>9</v>
      </c>
      <c r="BZ78" s="14">
        <v>10</v>
      </c>
      <c r="CA78" s="14">
        <v>11</v>
      </c>
      <c r="CB78" s="14">
        <v>12</v>
      </c>
      <c r="CC78" s="14">
        <v>13</v>
      </c>
      <c r="CD78" s="14">
        <v>14</v>
      </c>
      <c r="CE78" s="14">
        <v>15</v>
      </c>
      <c r="CF78" s="14">
        <v>16</v>
      </c>
      <c r="CG78" s="14">
        <v>17</v>
      </c>
      <c r="CH78" s="14">
        <v>18</v>
      </c>
      <c r="CI78" s="14">
        <v>19</v>
      </c>
      <c r="CJ78" s="14">
        <v>20</v>
      </c>
      <c r="CK78" s="14">
        <v>21</v>
      </c>
      <c r="CL78" s="14">
        <v>22</v>
      </c>
      <c r="CM78" s="14">
        <v>23</v>
      </c>
      <c r="CN78" s="14">
        <v>24</v>
      </c>
      <c r="CP78" s="64"/>
      <c r="CQ78" s="65"/>
      <c r="CR78" s="14">
        <v>1</v>
      </c>
      <c r="CS78" s="14">
        <v>2</v>
      </c>
      <c r="CT78" s="14">
        <v>3</v>
      </c>
      <c r="CU78" s="14">
        <v>4</v>
      </c>
      <c r="CV78" s="14">
        <v>5</v>
      </c>
      <c r="CW78" s="14">
        <v>6</v>
      </c>
      <c r="CX78" s="14">
        <v>7</v>
      </c>
      <c r="CY78" s="14">
        <v>8</v>
      </c>
      <c r="CZ78" s="14">
        <v>9</v>
      </c>
      <c r="DA78" s="14">
        <v>10</v>
      </c>
      <c r="DB78" s="14">
        <v>11</v>
      </c>
      <c r="DC78" s="14">
        <v>12</v>
      </c>
      <c r="DD78" s="14">
        <v>13</v>
      </c>
      <c r="DE78" s="14">
        <v>14</v>
      </c>
      <c r="DF78" s="14">
        <v>15</v>
      </c>
      <c r="DG78" s="14">
        <v>16</v>
      </c>
      <c r="DH78" s="14">
        <v>17</v>
      </c>
      <c r="DI78" s="14">
        <v>18</v>
      </c>
      <c r="DJ78" s="14">
        <v>19</v>
      </c>
      <c r="DK78" s="14">
        <v>20</v>
      </c>
      <c r="DL78" s="14">
        <v>21</v>
      </c>
      <c r="DM78" s="14">
        <v>22</v>
      </c>
      <c r="DN78" s="14">
        <v>23</v>
      </c>
      <c r="DO78" s="14">
        <v>24</v>
      </c>
    </row>
    <row r="79" spans="1:119" x14ac:dyDescent="0.35">
      <c r="A79" s="73"/>
      <c r="B79" s="24" t="s">
        <v>7</v>
      </c>
      <c r="C79" s="6">
        <v>550301.39</v>
      </c>
      <c r="E79" s="13" t="s">
        <v>34</v>
      </c>
      <c r="F79" s="10">
        <v>1</v>
      </c>
      <c r="G79" s="10">
        <v>1</v>
      </c>
      <c r="H79" s="10">
        <v>1</v>
      </c>
      <c r="I79" s="10">
        <v>1</v>
      </c>
      <c r="J79" s="10">
        <v>1</v>
      </c>
      <c r="K79" s="10">
        <v>1</v>
      </c>
      <c r="L79" s="10">
        <v>1</v>
      </c>
      <c r="M79" s="10">
        <v>1</v>
      </c>
      <c r="N79" s="10">
        <v>1</v>
      </c>
      <c r="O79" s="10">
        <v>1</v>
      </c>
      <c r="P79" s="10">
        <v>1</v>
      </c>
      <c r="Q79" s="10">
        <v>1</v>
      </c>
      <c r="R79" s="10">
        <v>1</v>
      </c>
      <c r="S79" s="10">
        <v>1</v>
      </c>
      <c r="T79" s="10">
        <v>1</v>
      </c>
      <c r="U79" s="10">
        <v>1</v>
      </c>
      <c r="V79" s="10">
        <v>1</v>
      </c>
      <c r="W79" s="10">
        <v>1</v>
      </c>
      <c r="X79" s="10">
        <v>1</v>
      </c>
      <c r="Y79" s="10">
        <v>1</v>
      </c>
      <c r="Z79" s="10">
        <v>1</v>
      </c>
      <c r="AA79" s="10">
        <v>1</v>
      </c>
      <c r="AB79" s="10">
        <v>1</v>
      </c>
      <c r="AC79" s="10">
        <v>1</v>
      </c>
      <c r="AE79" s="13" t="s">
        <v>34</v>
      </c>
      <c r="AF79" s="13" t="s">
        <v>60</v>
      </c>
      <c r="AG79" s="15">
        <v>1056</v>
      </c>
      <c r="AH79" s="15">
        <v>936</v>
      </c>
      <c r="AI79" s="15">
        <v>815.99999999999875</v>
      </c>
      <c r="AJ79" s="15">
        <v>773.74135333333334</v>
      </c>
      <c r="AK79" s="15">
        <v>893.74135333333334</v>
      </c>
      <c r="AL79" s="15">
        <v>773.74135333333334</v>
      </c>
      <c r="AM79" s="15">
        <v>703.29224367346944</v>
      </c>
      <c r="AN79" s="15">
        <v>693.67987735668612</v>
      </c>
      <c r="AO79" s="15">
        <v>703.29224367346944</v>
      </c>
      <c r="AP79" s="15">
        <v>703.29224367346944</v>
      </c>
      <c r="AQ79" s="15">
        <v>791.85264367346952</v>
      </c>
      <c r="AR79" s="15">
        <v>671.85264367346952</v>
      </c>
      <c r="AS79" s="15">
        <v>750.78445999999985</v>
      </c>
      <c r="AT79" s="15">
        <v>671.8526436734694</v>
      </c>
      <c r="AU79" s="15">
        <v>703.29224367346944</v>
      </c>
      <c r="AV79" s="15">
        <v>703.29224367346944</v>
      </c>
      <c r="AW79" s="15">
        <v>823.05152302947249</v>
      </c>
      <c r="AX79" s="15">
        <v>703.05152302947249</v>
      </c>
      <c r="AY79" s="15">
        <v>734.05612367346941</v>
      </c>
      <c r="AZ79" s="15">
        <v>817.29338275273574</v>
      </c>
      <c r="BA79" s="15">
        <v>697.29338275273574</v>
      </c>
      <c r="BB79" s="15">
        <v>687.99330041347969</v>
      </c>
      <c r="BC79" s="15">
        <v>741.21588711140464</v>
      </c>
      <c r="BD79" s="15">
        <v>697.95640816326545</v>
      </c>
      <c r="BE79" s="9"/>
      <c r="BF79" s="16">
        <v>2</v>
      </c>
      <c r="BG79" s="22">
        <v>853.80000000000007</v>
      </c>
      <c r="BH79" s="19"/>
      <c r="BI79" s="14">
        <v>12</v>
      </c>
      <c r="BJ79" s="22">
        <v>853.80000000000007</v>
      </c>
      <c r="BK79" s="19"/>
      <c r="BL79" s="14">
        <v>22</v>
      </c>
      <c r="BM79" s="22">
        <v>853.80000000000007</v>
      </c>
      <c r="BO79" s="13" t="s">
        <v>34</v>
      </c>
      <c r="BP79" s="13" t="s">
        <v>60</v>
      </c>
      <c r="BQ79" s="15">
        <v>120</v>
      </c>
      <c r="BR79" s="15">
        <v>240</v>
      </c>
      <c r="BS79" s="15">
        <v>360.00000000000125</v>
      </c>
      <c r="BT79" s="15">
        <v>402.25864666666666</v>
      </c>
      <c r="BU79" s="15">
        <v>282.25864666666666</v>
      </c>
      <c r="BV79" s="15">
        <v>402.25864666666666</v>
      </c>
      <c r="BW79" s="15">
        <v>472.70775632653056</v>
      </c>
      <c r="BX79" s="15">
        <v>482.32012264331388</v>
      </c>
      <c r="BY79" s="15">
        <v>472.70775632653056</v>
      </c>
      <c r="BZ79" s="15">
        <v>472.70775632653056</v>
      </c>
      <c r="CA79" s="15">
        <v>384.14735632653048</v>
      </c>
      <c r="CB79" s="15">
        <v>504.14735632653048</v>
      </c>
      <c r="CC79" s="15">
        <v>425.21554000000015</v>
      </c>
      <c r="CD79" s="15">
        <v>504.1473563265306</v>
      </c>
      <c r="CE79" s="15">
        <v>472.70775632653056</v>
      </c>
      <c r="CF79" s="15">
        <v>472.70775632653056</v>
      </c>
      <c r="CG79" s="15">
        <v>352.94847697052751</v>
      </c>
      <c r="CH79" s="15">
        <v>472.94847697052751</v>
      </c>
      <c r="CI79" s="15">
        <v>441.94387632653059</v>
      </c>
      <c r="CJ79" s="15">
        <v>358.70661724726426</v>
      </c>
      <c r="CK79" s="15">
        <v>478.70661724726426</v>
      </c>
      <c r="CL79" s="15">
        <v>488.00669958652031</v>
      </c>
      <c r="CM79" s="15">
        <v>434.78411288859536</v>
      </c>
      <c r="CN79" s="15">
        <v>478.04359183673455</v>
      </c>
      <c r="CP79" s="13" t="s">
        <v>34</v>
      </c>
      <c r="CQ79" s="13" t="s">
        <v>60</v>
      </c>
      <c r="CR79" s="15">
        <v>120</v>
      </c>
      <c r="CS79" s="15">
        <v>33</v>
      </c>
      <c r="CT79" s="15">
        <v>153.00000000000125</v>
      </c>
      <c r="CU79" s="15">
        <v>195.25864666666666</v>
      </c>
      <c r="CV79" s="15">
        <v>75.258646666666664</v>
      </c>
      <c r="CW79" s="15">
        <v>195.25864666666666</v>
      </c>
      <c r="CX79" s="15">
        <v>265.70775632653056</v>
      </c>
      <c r="CY79" s="15">
        <v>275.32012264331388</v>
      </c>
      <c r="CZ79" s="15">
        <v>265.70775632653056</v>
      </c>
      <c r="DA79" s="15">
        <v>265.70775632653056</v>
      </c>
      <c r="DB79" s="15">
        <v>177.14735632653037</v>
      </c>
      <c r="DC79" s="15">
        <v>297.14735632653048</v>
      </c>
      <c r="DD79" s="15">
        <v>218.21554000000015</v>
      </c>
      <c r="DE79" s="15">
        <v>297.1473563265306</v>
      </c>
      <c r="DF79" s="15">
        <v>335.41379591836727</v>
      </c>
      <c r="DG79" s="15">
        <v>327.78252821509994</v>
      </c>
      <c r="DH79" s="15">
        <v>176.95307761452457</v>
      </c>
      <c r="DI79" s="15">
        <v>265.94847697052751</v>
      </c>
      <c r="DJ79" s="15">
        <v>234.94387632653059</v>
      </c>
      <c r="DK79" s="15">
        <v>151.70661724726426</v>
      </c>
      <c r="DL79" s="15">
        <v>335.41379591836727</v>
      </c>
      <c r="DM79" s="15">
        <v>335.41379591836727</v>
      </c>
      <c r="DN79" s="15">
        <v>271.04359183673466</v>
      </c>
      <c r="DO79" s="15">
        <v>271.04359183673466</v>
      </c>
    </row>
    <row r="80" spans="1:119" x14ac:dyDescent="0.35">
      <c r="A80" s="74"/>
      <c r="B80" s="24" t="s">
        <v>8</v>
      </c>
      <c r="C80" s="6">
        <v>0</v>
      </c>
      <c r="E80" s="13" t="s">
        <v>35</v>
      </c>
      <c r="F80" s="10">
        <v>1</v>
      </c>
      <c r="G80" s="10">
        <v>1</v>
      </c>
      <c r="H80" s="10">
        <v>1</v>
      </c>
      <c r="I80" s="10">
        <v>1</v>
      </c>
      <c r="J80" s="10">
        <v>1</v>
      </c>
      <c r="K80" s="10">
        <v>1</v>
      </c>
      <c r="L80" s="10">
        <v>1</v>
      </c>
      <c r="M80" s="10">
        <v>1</v>
      </c>
      <c r="N80" s="10">
        <v>1</v>
      </c>
      <c r="O80" s="10">
        <v>1</v>
      </c>
      <c r="P80" s="10">
        <v>1</v>
      </c>
      <c r="Q80" s="10">
        <v>1</v>
      </c>
      <c r="R80" s="10">
        <v>1</v>
      </c>
      <c r="S80" s="10">
        <v>1</v>
      </c>
      <c r="T80" s="10">
        <v>1</v>
      </c>
      <c r="U80" s="10">
        <v>1</v>
      </c>
      <c r="V80" s="10">
        <v>1</v>
      </c>
      <c r="W80" s="10">
        <v>1</v>
      </c>
      <c r="X80" s="10">
        <v>1</v>
      </c>
      <c r="Y80" s="10">
        <v>1</v>
      </c>
      <c r="Z80" s="10">
        <v>1</v>
      </c>
      <c r="AA80" s="10">
        <v>1</v>
      </c>
      <c r="AB80" s="10">
        <v>1</v>
      </c>
      <c r="AC80" s="10">
        <v>1</v>
      </c>
      <c r="AE80" s="13" t="s">
        <v>35</v>
      </c>
      <c r="AF80" s="13" t="s">
        <v>62</v>
      </c>
      <c r="AG80" s="15">
        <v>339.99999999999989</v>
      </c>
      <c r="AH80" s="15">
        <v>452.75721224489791</v>
      </c>
      <c r="AI80" s="15">
        <v>340</v>
      </c>
      <c r="AJ80" s="15">
        <v>340</v>
      </c>
      <c r="AK80" s="15">
        <v>590.15931122505765</v>
      </c>
      <c r="AL80" s="15">
        <v>340</v>
      </c>
      <c r="AM80" s="15">
        <v>486.77593999999999</v>
      </c>
      <c r="AN80" s="15">
        <v>438.40746656486272</v>
      </c>
      <c r="AO80" s="15">
        <v>738.40746656486272</v>
      </c>
      <c r="AP80" s="15">
        <v>795.83579296287326</v>
      </c>
      <c r="AQ80" s="15">
        <v>887.20348000000001</v>
      </c>
      <c r="AR80" s="15">
        <v>887.2034799999999</v>
      </c>
      <c r="AS80" s="15">
        <v>887.20348000000001</v>
      </c>
      <c r="AT80" s="15">
        <v>887.20348000000001</v>
      </c>
      <c r="AU80" s="15">
        <v>956.90951959183667</v>
      </c>
      <c r="AV80" s="15">
        <v>949.27825188856946</v>
      </c>
      <c r="AW80" s="15">
        <v>918.20808064399682</v>
      </c>
      <c r="AX80" s="15">
        <v>887.20348000000001</v>
      </c>
      <c r="AY80" s="15">
        <v>887.20348000000001</v>
      </c>
      <c r="AZ80" s="15">
        <v>766.33329228683158</v>
      </c>
      <c r="BA80" s="15">
        <v>950.91065867110296</v>
      </c>
      <c r="BB80" s="15">
        <v>941.61057633184691</v>
      </c>
      <c r="BC80" s="15">
        <v>946.16075894813923</v>
      </c>
      <c r="BD80" s="15">
        <v>902.90128000000004</v>
      </c>
      <c r="BE80" s="9"/>
      <c r="BF80" s="16">
        <v>3</v>
      </c>
      <c r="BG80" s="22">
        <v>853.80000000000007</v>
      </c>
      <c r="BH80" s="19"/>
      <c r="BI80" s="14">
        <v>13</v>
      </c>
      <c r="BJ80" s="22">
        <v>853.80000000000007</v>
      </c>
      <c r="BK80" s="19"/>
      <c r="BL80" s="14">
        <v>23</v>
      </c>
      <c r="BM80" s="22">
        <v>708</v>
      </c>
      <c r="BO80" s="13" t="s">
        <v>35</v>
      </c>
      <c r="BP80" s="13" t="s">
        <v>62</v>
      </c>
      <c r="BQ80" s="15">
        <v>785.00000000000011</v>
      </c>
      <c r="BR80" s="15">
        <v>672.24278775510209</v>
      </c>
      <c r="BS80" s="15">
        <v>785</v>
      </c>
      <c r="BT80" s="15">
        <v>785</v>
      </c>
      <c r="BU80" s="15">
        <v>534.84068877494235</v>
      </c>
      <c r="BV80" s="15">
        <v>785</v>
      </c>
      <c r="BW80" s="15">
        <v>638.22406000000001</v>
      </c>
      <c r="BX80" s="15">
        <v>686.59253343513728</v>
      </c>
      <c r="BY80" s="15">
        <v>386.59253343513728</v>
      </c>
      <c r="BZ80" s="15">
        <v>329.16420703712674</v>
      </c>
      <c r="CA80" s="15">
        <v>237.79651999999999</v>
      </c>
      <c r="CB80" s="15">
        <v>237.7965200000001</v>
      </c>
      <c r="CC80" s="15">
        <v>237.79651999999999</v>
      </c>
      <c r="CD80" s="15">
        <v>237.79651999999999</v>
      </c>
      <c r="CE80" s="15">
        <v>168.09048040816333</v>
      </c>
      <c r="CF80" s="15">
        <v>175.72174811143054</v>
      </c>
      <c r="CG80" s="15">
        <v>206.79191935600318</v>
      </c>
      <c r="CH80" s="15">
        <v>237.79651999999999</v>
      </c>
      <c r="CI80" s="15">
        <v>237.79651999999999</v>
      </c>
      <c r="CJ80" s="15">
        <v>358.66670771316842</v>
      </c>
      <c r="CK80" s="15">
        <v>174.08934132889704</v>
      </c>
      <c r="CL80" s="15">
        <v>183.38942366815309</v>
      </c>
      <c r="CM80" s="15">
        <v>178.83924105186077</v>
      </c>
      <c r="CN80" s="15">
        <v>222.09871999999996</v>
      </c>
      <c r="CP80" s="13" t="s">
        <v>35</v>
      </c>
      <c r="CQ80" s="13" t="s">
        <v>62</v>
      </c>
      <c r="CR80" s="15">
        <v>96.777260000000012</v>
      </c>
      <c r="CS80" s="15">
        <v>81.796520000000001</v>
      </c>
      <c r="CT80" s="15">
        <v>81.796520000000001</v>
      </c>
      <c r="CU80" s="15">
        <v>81.796520000000001</v>
      </c>
      <c r="CV80" s="15">
        <v>81.796520000000001</v>
      </c>
      <c r="CW80" s="15">
        <v>81.796520000000001</v>
      </c>
      <c r="CX80" s="15">
        <v>81.796520000000001</v>
      </c>
      <c r="CY80" s="15">
        <v>81.796520000000001</v>
      </c>
      <c r="CZ80" s="15">
        <v>81.796520000000001</v>
      </c>
      <c r="DA80" s="15">
        <v>81.796520000000001</v>
      </c>
      <c r="DB80" s="15">
        <v>81.796520000000001</v>
      </c>
      <c r="DC80" s="15">
        <v>81.796520000000001</v>
      </c>
      <c r="DD80" s="15">
        <v>81.796520000000001</v>
      </c>
      <c r="DE80" s="15">
        <v>81.796520000000001</v>
      </c>
      <c r="DF80" s="15">
        <v>81.796520000000001</v>
      </c>
      <c r="DG80" s="15">
        <v>81.796520000000001</v>
      </c>
      <c r="DH80" s="15">
        <v>81.796520000000001</v>
      </c>
      <c r="DI80" s="15">
        <v>81.796520000000001</v>
      </c>
      <c r="DJ80" s="15">
        <v>81.796520000000001</v>
      </c>
      <c r="DK80" s="15">
        <v>81.796520000000001</v>
      </c>
      <c r="DL80" s="15">
        <v>81.796520000000001</v>
      </c>
      <c r="DM80" s="15">
        <v>81.796520000000001</v>
      </c>
      <c r="DN80" s="15">
        <v>66.09872</v>
      </c>
      <c r="DO80" s="15">
        <v>66.09872</v>
      </c>
    </row>
    <row r="81" spans="1:119" x14ac:dyDescent="0.35">
      <c r="A81" s="68" t="s">
        <v>50</v>
      </c>
      <c r="B81" s="69"/>
      <c r="C81" s="6">
        <v>0</v>
      </c>
      <c r="E81" s="13" t="s">
        <v>36</v>
      </c>
      <c r="F81" s="10">
        <v>1</v>
      </c>
      <c r="G81" s="10">
        <v>1</v>
      </c>
      <c r="H81" s="10">
        <v>1</v>
      </c>
      <c r="I81" s="10">
        <v>1</v>
      </c>
      <c r="J81" s="10">
        <v>1</v>
      </c>
      <c r="K81" s="10">
        <v>1</v>
      </c>
      <c r="L81" s="10">
        <v>1</v>
      </c>
      <c r="M81" s="10">
        <v>1</v>
      </c>
      <c r="N81" s="10">
        <v>1</v>
      </c>
      <c r="O81" s="10">
        <v>1</v>
      </c>
      <c r="P81" s="10">
        <v>1</v>
      </c>
      <c r="Q81" s="10">
        <v>1</v>
      </c>
      <c r="R81" s="10">
        <v>1</v>
      </c>
      <c r="S81" s="10">
        <v>1</v>
      </c>
      <c r="T81" s="10">
        <v>1</v>
      </c>
      <c r="U81" s="10">
        <v>1</v>
      </c>
      <c r="V81" s="10">
        <v>1</v>
      </c>
      <c r="W81" s="10">
        <v>1</v>
      </c>
      <c r="X81" s="10">
        <v>1</v>
      </c>
      <c r="Y81" s="10">
        <v>1</v>
      </c>
      <c r="Z81" s="10">
        <v>1</v>
      </c>
      <c r="AA81" s="10">
        <v>1</v>
      </c>
      <c r="AB81" s="10">
        <v>1</v>
      </c>
      <c r="AC81" s="10">
        <v>1</v>
      </c>
      <c r="AE81" s="13" t="s">
        <v>36</v>
      </c>
      <c r="AF81" s="13" t="s">
        <v>63</v>
      </c>
      <c r="AG81" s="15">
        <v>720</v>
      </c>
      <c r="AH81" s="15">
        <v>747.93181632653057</v>
      </c>
      <c r="AI81" s="15">
        <v>778.98127224489917</v>
      </c>
      <c r="AJ81" s="15">
        <v>747.93181632653057</v>
      </c>
      <c r="AK81" s="15">
        <v>747.93181632653057</v>
      </c>
      <c r="AL81" s="15">
        <v>773.74135333333334</v>
      </c>
      <c r="AM81" s="15">
        <v>747.93181632653057</v>
      </c>
      <c r="AN81" s="15">
        <v>757.54418264331389</v>
      </c>
      <c r="AO81" s="15">
        <v>747.93181632653057</v>
      </c>
      <c r="AP81" s="15">
        <v>747.93181632653057</v>
      </c>
      <c r="AQ81" s="15">
        <v>747.93181632653057</v>
      </c>
      <c r="AR81" s="15">
        <v>747.93181632653057</v>
      </c>
      <c r="AS81" s="15">
        <v>867.93181632653057</v>
      </c>
      <c r="AT81" s="15">
        <v>747.93181632653057</v>
      </c>
      <c r="AU81" s="15">
        <v>747.93181632653057</v>
      </c>
      <c r="AV81" s="15">
        <v>747.93181632653057</v>
      </c>
      <c r="AW81" s="15">
        <v>748.17253697052774</v>
      </c>
      <c r="AX81" s="15">
        <v>747.93181632653057</v>
      </c>
      <c r="AY81" s="15">
        <v>747.93181632653057</v>
      </c>
      <c r="AZ81" s="15">
        <v>747.93181632653057</v>
      </c>
      <c r="BA81" s="15">
        <v>747.93181632653057</v>
      </c>
      <c r="BB81" s="15">
        <v>747.93181632653057</v>
      </c>
      <c r="BC81" s="15">
        <v>790.35763265306127</v>
      </c>
      <c r="BD81" s="15">
        <v>790.35763265306127</v>
      </c>
      <c r="BE81" s="9"/>
      <c r="BF81" s="16">
        <v>4</v>
      </c>
      <c r="BG81" s="22">
        <v>853.80000000000007</v>
      </c>
      <c r="BH81" s="19"/>
      <c r="BI81" s="14">
        <v>14</v>
      </c>
      <c r="BJ81" s="22">
        <v>853.80000000000007</v>
      </c>
      <c r="BK81" s="19"/>
      <c r="BL81" s="14">
        <v>24</v>
      </c>
      <c r="BM81" s="22">
        <v>708</v>
      </c>
      <c r="BO81" s="13" t="s">
        <v>36</v>
      </c>
      <c r="BP81" s="13" t="s">
        <v>63</v>
      </c>
      <c r="BQ81" s="15">
        <v>249</v>
      </c>
      <c r="BR81" s="15">
        <v>221.06818367346943</v>
      </c>
      <c r="BS81" s="15">
        <v>190.01872775510083</v>
      </c>
      <c r="BT81" s="15">
        <v>221.06818367346943</v>
      </c>
      <c r="BU81" s="15">
        <v>221.06818367346943</v>
      </c>
      <c r="BV81" s="15">
        <v>195.25864666666666</v>
      </c>
      <c r="BW81" s="15">
        <v>221.06818367346943</v>
      </c>
      <c r="BX81" s="15">
        <v>211.45581735668611</v>
      </c>
      <c r="BY81" s="15">
        <v>221.06818367346943</v>
      </c>
      <c r="BZ81" s="15">
        <v>221.06818367346943</v>
      </c>
      <c r="CA81" s="15">
        <v>221.06818367346943</v>
      </c>
      <c r="CB81" s="15">
        <v>221.06818367346943</v>
      </c>
      <c r="CC81" s="15">
        <v>101.06818367346943</v>
      </c>
      <c r="CD81" s="15">
        <v>221.06818367346943</v>
      </c>
      <c r="CE81" s="15">
        <v>221.06818367346943</v>
      </c>
      <c r="CF81" s="15">
        <v>221.06818367346943</v>
      </c>
      <c r="CG81" s="15">
        <v>220.82746302947226</v>
      </c>
      <c r="CH81" s="15">
        <v>221.06818367346943</v>
      </c>
      <c r="CI81" s="15">
        <v>221.06818367346943</v>
      </c>
      <c r="CJ81" s="15">
        <v>221.06818367346943</v>
      </c>
      <c r="CK81" s="15">
        <v>221.06818367346943</v>
      </c>
      <c r="CL81" s="15">
        <v>221.06818367346943</v>
      </c>
      <c r="CM81" s="15">
        <v>178.64236734693873</v>
      </c>
      <c r="CN81" s="15">
        <v>178.64236734693873</v>
      </c>
      <c r="CP81" s="13" t="s">
        <v>36</v>
      </c>
      <c r="CQ81" s="13" t="s">
        <v>63</v>
      </c>
      <c r="CR81" s="15">
        <v>249</v>
      </c>
      <c r="CS81" s="15">
        <v>221.06818367346941</v>
      </c>
      <c r="CT81" s="15">
        <v>190.01872775510083</v>
      </c>
      <c r="CU81" s="15">
        <v>221.06818367346941</v>
      </c>
      <c r="CV81" s="15">
        <v>221.06818367346941</v>
      </c>
      <c r="CW81" s="15">
        <v>195.25864666666666</v>
      </c>
      <c r="CX81" s="15">
        <v>221.06818367346941</v>
      </c>
      <c r="CY81" s="15">
        <v>211.45581735668611</v>
      </c>
      <c r="CZ81" s="15">
        <v>221.06818367346941</v>
      </c>
      <c r="DA81" s="15">
        <v>221.06818367346941</v>
      </c>
      <c r="DB81" s="15">
        <v>221.06818367346941</v>
      </c>
      <c r="DC81" s="15">
        <v>221.06818367346941</v>
      </c>
      <c r="DD81" s="15">
        <v>101.06818367346943</v>
      </c>
      <c r="DE81" s="15">
        <v>221.06818367346941</v>
      </c>
      <c r="DF81" s="15">
        <v>221.06818367346941</v>
      </c>
      <c r="DG81" s="15">
        <v>221.06818367346941</v>
      </c>
      <c r="DH81" s="15">
        <v>220.82746302947226</v>
      </c>
      <c r="DI81" s="15">
        <v>221.06818367346941</v>
      </c>
      <c r="DJ81" s="15">
        <v>221.06818367346941</v>
      </c>
      <c r="DK81" s="15">
        <v>221.06818367346941</v>
      </c>
      <c r="DL81" s="15">
        <v>221.06818367346941</v>
      </c>
      <c r="DM81" s="15">
        <v>221.06818367346941</v>
      </c>
      <c r="DN81" s="15">
        <v>178.64236734693878</v>
      </c>
      <c r="DO81" s="15">
        <v>178.64236734693878</v>
      </c>
    </row>
    <row r="82" spans="1:119" x14ac:dyDescent="0.35">
      <c r="A82" s="68" t="s">
        <v>3</v>
      </c>
      <c r="B82" s="69"/>
      <c r="C82" s="6">
        <v>0</v>
      </c>
      <c r="E82" s="13" t="s">
        <v>37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E82" s="13" t="s">
        <v>37</v>
      </c>
      <c r="AF82" s="13" t="s">
        <v>64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9"/>
      <c r="BF82" s="16">
        <v>5</v>
      </c>
      <c r="BG82" s="22">
        <v>853.80000000000007</v>
      </c>
      <c r="BH82" s="19"/>
      <c r="BI82" s="14">
        <v>15</v>
      </c>
      <c r="BJ82" s="22">
        <v>853.80000000000007</v>
      </c>
      <c r="BK82" s="20"/>
      <c r="BL82" s="20"/>
      <c r="BM82" s="20"/>
      <c r="BO82" s="13" t="s">
        <v>37</v>
      </c>
      <c r="BP82" s="13" t="s">
        <v>64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0</v>
      </c>
      <c r="CP82" s="13" t="s">
        <v>37</v>
      </c>
      <c r="CQ82" s="13" t="s">
        <v>64</v>
      </c>
      <c r="CR82" s="15">
        <v>0</v>
      </c>
      <c r="CS82" s="15">
        <v>0</v>
      </c>
      <c r="CT82" s="15">
        <v>0</v>
      </c>
      <c r="CU82" s="15">
        <v>0</v>
      </c>
      <c r="CV82" s="15">
        <v>0</v>
      </c>
      <c r="CW82" s="15">
        <v>0</v>
      </c>
      <c r="CX82" s="15">
        <v>0</v>
      </c>
      <c r="CY82" s="15">
        <v>0</v>
      </c>
      <c r="CZ82" s="15">
        <v>0</v>
      </c>
      <c r="DA82" s="15">
        <v>0</v>
      </c>
      <c r="DB82" s="15">
        <v>0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5">
        <v>0</v>
      </c>
      <c r="DI82" s="15">
        <v>0</v>
      </c>
      <c r="DJ82" s="15">
        <v>0</v>
      </c>
      <c r="DK82" s="15">
        <v>0</v>
      </c>
      <c r="DL82" s="15">
        <v>0</v>
      </c>
      <c r="DM82" s="15">
        <v>0</v>
      </c>
      <c r="DN82" s="15">
        <v>0</v>
      </c>
      <c r="DO82" s="15">
        <v>0</v>
      </c>
    </row>
    <row r="83" spans="1:119" x14ac:dyDescent="0.35">
      <c r="A83" s="70" t="s">
        <v>4</v>
      </c>
      <c r="B83" s="71"/>
      <c r="C83" s="25">
        <f>SUM(C77:C82)</f>
        <v>4516149.62</v>
      </c>
      <c r="E83" s="13" t="s">
        <v>38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E83" s="13" t="s">
        <v>38</v>
      </c>
      <c r="AF83" s="13" t="s">
        <v>65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9"/>
      <c r="BF83" s="16">
        <v>6</v>
      </c>
      <c r="BG83" s="22">
        <v>853.80000000000007</v>
      </c>
      <c r="BH83" s="19"/>
      <c r="BI83" s="14">
        <v>16</v>
      </c>
      <c r="BJ83" s="22">
        <v>853.80000000000007</v>
      </c>
      <c r="BK83" s="20"/>
      <c r="BL83" s="20"/>
      <c r="BM83" s="20"/>
      <c r="BO83" s="13" t="s">
        <v>38</v>
      </c>
      <c r="BP83" s="13" t="s">
        <v>65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0</v>
      </c>
      <c r="CP83" s="13" t="s">
        <v>38</v>
      </c>
      <c r="CQ83" s="13" t="s">
        <v>65</v>
      </c>
      <c r="CR83" s="15">
        <v>0</v>
      </c>
      <c r="CS83" s="15">
        <v>0</v>
      </c>
      <c r="CT83" s="15">
        <v>0</v>
      </c>
      <c r="CU83" s="15">
        <v>0</v>
      </c>
      <c r="CV83" s="15">
        <v>0</v>
      </c>
      <c r="CW83" s="15">
        <v>0</v>
      </c>
      <c r="CX83" s="15">
        <v>0</v>
      </c>
      <c r="CY83" s="15">
        <v>0</v>
      </c>
      <c r="CZ83" s="15">
        <v>0</v>
      </c>
      <c r="DA83" s="15">
        <v>0</v>
      </c>
      <c r="DB83" s="15">
        <v>0</v>
      </c>
      <c r="DC83" s="15">
        <v>0</v>
      </c>
      <c r="DD83" s="15">
        <v>0</v>
      </c>
      <c r="DE83" s="15">
        <v>0</v>
      </c>
      <c r="DF83" s="15">
        <v>0</v>
      </c>
      <c r="DG83" s="15">
        <v>0</v>
      </c>
      <c r="DH83" s="15">
        <v>0</v>
      </c>
      <c r="DI83" s="15">
        <v>0</v>
      </c>
      <c r="DJ83" s="15">
        <v>0</v>
      </c>
      <c r="DK83" s="15">
        <v>0</v>
      </c>
      <c r="DL83" s="15">
        <v>0</v>
      </c>
      <c r="DM83" s="15">
        <v>0</v>
      </c>
      <c r="DN83" s="15">
        <v>0</v>
      </c>
      <c r="DO83" s="15">
        <v>0</v>
      </c>
    </row>
    <row r="84" spans="1:119" x14ac:dyDescent="0.35">
      <c r="E84" s="13" t="s">
        <v>39</v>
      </c>
      <c r="F84" s="10">
        <v>1</v>
      </c>
      <c r="G84" s="10">
        <v>1</v>
      </c>
      <c r="H84" s="10">
        <v>1</v>
      </c>
      <c r="I84" s="10">
        <v>1</v>
      </c>
      <c r="J84" s="10">
        <v>1</v>
      </c>
      <c r="K84" s="10">
        <v>1</v>
      </c>
      <c r="L84" s="10">
        <v>1</v>
      </c>
      <c r="M84" s="10">
        <v>1</v>
      </c>
      <c r="N84" s="10">
        <v>1</v>
      </c>
      <c r="O84" s="10">
        <v>1</v>
      </c>
      <c r="P84" s="10">
        <v>1</v>
      </c>
      <c r="Q84" s="10">
        <v>1</v>
      </c>
      <c r="R84" s="10">
        <v>1</v>
      </c>
      <c r="S84" s="10">
        <v>1</v>
      </c>
      <c r="T84" s="10">
        <v>1</v>
      </c>
      <c r="U84" s="10">
        <v>1</v>
      </c>
      <c r="V84" s="10">
        <v>1</v>
      </c>
      <c r="W84" s="10">
        <v>1</v>
      </c>
      <c r="X84" s="10">
        <v>1</v>
      </c>
      <c r="Y84" s="10">
        <v>1</v>
      </c>
      <c r="Z84" s="10">
        <v>1</v>
      </c>
      <c r="AA84" s="10">
        <v>1</v>
      </c>
      <c r="AB84" s="10">
        <v>1</v>
      </c>
      <c r="AC84" s="10">
        <v>1</v>
      </c>
      <c r="AE84" s="13" t="s">
        <v>39</v>
      </c>
      <c r="AF84" s="13" t="s">
        <v>66</v>
      </c>
      <c r="AG84" s="15">
        <v>250</v>
      </c>
      <c r="AH84" s="15">
        <v>251.18718167518875</v>
      </c>
      <c r="AI84" s="15">
        <v>550</v>
      </c>
      <c r="AJ84" s="15">
        <v>250</v>
      </c>
      <c r="AK84" s="15">
        <v>250</v>
      </c>
      <c r="AL84" s="15">
        <v>402.29696258867216</v>
      </c>
      <c r="AM84" s="15">
        <v>582.01206000000002</v>
      </c>
      <c r="AN84" s="15">
        <v>282.01206000000002</v>
      </c>
      <c r="AO84" s="15">
        <v>582.01206000000002</v>
      </c>
      <c r="AP84" s="15">
        <v>882.01206000000002</v>
      </c>
      <c r="AQ84" s="15">
        <v>882.01206000000002</v>
      </c>
      <c r="AR84" s="15">
        <v>882.01206000000002</v>
      </c>
      <c r="AS84" s="15">
        <v>582.01206000000002</v>
      </c>
      <c r="AT84" s="15">
        <v>882.01206000000002</v>
      </c>
      <c r="AU84" s="15">
        <v>951.71809959183679</v>
      </c>
      <c r="AV84" s="15">
        <v>944.08683188856946</v>
      </c>
      <c r="AW84" s="15">
        <v>913.01666064399683</v>
      </c>
      <c r="AX84" s="15">
        <v>613.01666064399683</v>
      </c>
      <c r="AY84" s="15">
        <v>582.01206000000002</v>
      </c>
      <c r="AZ84" s="15">
        <v>882.01206000000002</v>
      </c>
      <c r="BA84" s="15">
        <v>945.71923867110286</v>
      </c>
      <c r="BB84" s="15">
        <v>811.46430692814283</v>
      </c>
      <c r="BC84" s="15">
        <v>941.96563894813926</v>
      </c>
      <c r="BD84" s="15">
        <v>777.96266192711141</v>
      </c>
      <c r="BE84" s="9"/>
      <c r="BF84" s="16">
        <v>7</v>
      </c>
      <c r="BG84" s="22">
        <v>853.80000000000007</v>
      </c>
      <c r="BH84" s="19"/>
      <c r="BI84" s="14">
        <v>17</v>
      </c>
      <c r="BJ84" s="22">
        <v>853.80000000000007</v>
      </c>
      <c r="BK84" s="20"/>
      <c r="BL84" s="20"/>
      <c r="BM84" s="20"/>
      <c r="BO84" s="13" t="s">
        <v>39</v>
      </c>
      <c r="BP84" s="13" t="s">
        <v>66</v>
      </c>
      <c r="BQ84" s="15">
        <v>845</v>
      </c>
      <c r="BR84" s="15">
        <v>843.81281832481125</v>
      </c>
      <c r="BS84" s="15">
        <v>545</v>
      </c>
      <c r="BT84" s="15">
        <v>845</v>
      </c>
      <c r="BU84" s="15">
        <v>845</v>
      </c>
      <c r="BV84" s="15">
        <v>692.70303741132784</v>
      </c>
      <c r="BW84" s="15">
        <v>512.98793999999998</v>
      </c>
      <c r="BX84" s="15">
        <v>812.98793999999998</v>
      </c>
      <c r="BY84" s="15">
        <v>512.98793999999998</v>
      </c>
      <c r="BZ84" s="15">
        <v>212.98793999999998</v>
      </c>
      <c r="CA84" s="15">
        <v>212.98793999999998</v>
      </c>
      <c r="CB84" s="15">
        <v>212.98793999999998</v>
      </c>
      <c r="CC84" s="15">
        <v>512.98793999999998</v>
      </c>
      <c r="CD84" s="15">
        <v>212.98793999999998</v>
      </c>
      <c r="CE84" s="15">
        <v>143.28190040816321</v>
      </c>
      <c r="CF84" s="15">
        <v>150.91316811143054</v>
      </c>
      <c r="CG84" s="15">
        <v>181.98333935600317</v>
      </c>
      <c r="CH84" s="15">
        <v>481.98333935600317</v>
      </c>
      <c r="CI84" s="15">
        <v>512.98793999999998</v>
      </c>
      <c r="CJ84" s="15">
        <v>212.98793999999998</v>
      </c>
      <c r="CK84" s="15">
        <v>149.28076132889714</v>
      </c>
      <c r="CL84" s="15">
        <v>283.53569307185717</v>
      </c>
      <c r="CM84" s="15">
        <v>153.03436105186074</v>
      </c>
      <c r="CN84" s="15">
        <v>317.03733807288859</v>
      </c>
      <c r="CP84" s="13" t="s">
        <v>39</v>
      </c>
      <c r="CQ84" s="13" t="s">
        <v>66</v>
      </c>
      <c r="CR84" s="15">
        <v>102.91947</v>
      </c>
      <c r="CS84" s="15">
        <v>86.987939999999995</v>
      </c>
      <c r="CT84" s="15">
        <v>86.987939999999995</v>
      </c>
      <c r="CU84" s="15">
        <v>86.987939999999995</v>
      </c>
      <c r="CV84" s="15">
        <v>86.987939999999995</v>
      </c>
      <c r="CW84" s="15">
        <v>86.987939999999995</v>
      </c>
      <c r="CX84" s="15">
        <v>86.987939999999995</v>
      </c>
      <c r="CY84" s="15">
        <v>86.987939999999995</v>
      </c>
      <c r="CZ84" s="15">
        <v>86.987939999999995</v>
      </c>
      <c r="DA84" s="15">
        <v>86.987939999999995</v>
      </c>
      <c r="DB84" s="15">
        <v>86.987939999999995</v>
      </c>
      <c r="DC84" s="15">
        <v>86.987939999999995</v>
      </c>
      <c r="DD84" s="15">
        <v>86.987939999999995</v>
      </c>
      <c r="DE84" s="15">
        <v>86.987939999999995</v>
      </c>
      <c r="DF84" s="15">
        <v>86.987939999999995</v>
      </c>
      <c r="DG84" s="15">
        <v>86.987939999999995</v>
      </c>
      <c r="DH84" s="15">
        <v>86.987939999999995</v>
      </c>
      <c r="DI84" s="15">
        <v>86.987939999999995</v>
      </c>
      <c r="DJ84" s="15">
        <v>86.987939999999995</v>
      </c>
      <c r="DK84" s="15">
        <v>86.987939999999995</v>
      </c>
      <c r="DL84" s="15">
        <v>86.987939999999995</v>
      </c>
      <c r="DM84" s="15">
        <v>86.987939999999995</v>
      </c>
      <c r="DN84" s="15">
        <v>70.293840000000003</v>
      </c>
      <c r="DO84" s="15">
        <v>70.293840000000003</v>
      </c>
    </row>
    <row r="85" spans="1:119" x14ac:dyDescent="0.35">
      <c r="E85" s="13" t="s">
        <v>40</v>
      </c>
      <c r="F85" s="10">
        <v>1</v>
      </c>
      <c r="G85" s="10">
        <v>1</v>
      </c>
      <c r="H85" s="10">
        <v>1</v>
      </c>
      <c r="I85" s="10">
        <v>1</v>
      </c>
      <c r="J85" s="10">
        <v>1</v>
      </c>
      <c r="K85" s="10">
        <v>1</v>
      </c>
      <c r="L85" s="10">
        <v>1</v>
      </c>
      <c r="M85" s="10">
        <v>1</v>
      </c>
      <c r="N85" s="10">
        <v>1</v>
      </c>
      <c r="O85" s="10">
        <v>1</v>
      </c>
      <c r="P85" s="10">
        <v>1</v>
      </c>
      <c r="Q85" s="10">
        <v>1</v>
      </c>
      <c r="R85" s="10">
        <v>1</v>
      </c>
      <c r="S85" s="10">
        <v>1</v>
      </c>
      <c r="T85" s="10">
        <v>1</v>
      </c>
      <c r="U85" s="10">
        <v>1</v>
      </c>
      <c r="V85" s="10">
        <v>1</v>
      </c>
      <c r="W85" s="10">
        <v>1</v>
      </c>
      <c r="X85" s="10">
        <v>1</v>
      </c>
      <c r="Y85" s="10">
        <v>1</v>
      </c>
      <c r="Z85" s="10">
        <v>1</v>
      </c>
      <c r="AA85" s="10">
        <v>1</v>
      </c>
      <c r="AB85" s="10">
        <v>0</v>
      </c>
      <c r="AC85" s="10">
        <v>0</v>
      </c>
      <c r="AE85" s="13" t="s">
        <v>40</v>
      </c>
      <c r="AF85" s="13" t="s">
        <v>67</v>
      </c>
      <c r="AG85" s="15">
        <v>248</v>
      </c>
      <c r="AH85" s="15">
        <v>548</v>
      </c>
      <c r="AI85" s="15">
        <v>277.977725627165</v>
      </c>
      <c r="AJ85" s="15">
        <v>498.15931122505742</v>
      </c>
      <c r="AK85" s="15">
        <v>248</v>
      </c>
      <c r="AL85" s="15">
        <v>548</v>
      </c>
      <c r="AM85" s="15">
        <v>283.0483507918234</v>
      </c>
      <c r="AN85" s="15">
        <v>583.0483507918234</v>
      </c>
      <c r="AO85" s="15">
        <v>289.8104740293702</v>
      </c>
      <c r="AP85" s="15">
        <v>248</v>
      </c>
      <c r="AQ85" s="15">
        <v>290.54495969166248</v>
      </c>
      <c r="AR85" s="15">
        <v>341.67615352490634</v>
      </c>
      <c r="AS85" s="15">
        <v>391.14498896423845</v>
      </c>
      <c r="AT85" s="15">
        <v>265.37165237839656</v>
      </c>
      <c r="AU85" s="15">
        <v>277.57533159839215</v>
      </c>
      <c r="AV85" s="15">
        <v>248</v>
      </c>
      <c r="AW85" s="15">
        <v>248</v>
      </c>
      <c r="AX85" s="15">
        <v>479.11264377225928</v>
      </c>
      <c r="AY85" s="15">
        <v>561.8326993608822</v>
      </c>
      <c r="AZ85" s="15">
        <v>562.8305877131686</v>
      </c>
      <c r="BA85" s="15">
        <v>262.8305877131686</v>
      </c>
      <c r="BB85" s="15">
        <v>300</v>
      </c>
      <c r="BC85" s="15">
        <v>0</v>
      </c>
      <c r="BD85" s="15">
        <v>0</v>
      </c>
      <c r="BE85" s="9"/>
      <c r="BF85" s="16">
        <v>8</v>
      </c>
      <c r="BG85" s="22">
        <v>853.80000000000007</v>
      </c>
      <c r="BH85" s="19"/>
      <c r="BI85" s="14">
        <v>18</v>
      </c>
      <c r="BJ85" s="22">
        <v>853.80000000000007</v>
      </c>
      <c r="BK85" s="20"/>
      <c r="BL85" s="20"/>
      <c r="BM85" s="20"/>
      <c r="BO85" s="13" t="s">
        <v>40</v>
      </c>
      <c r="BP85" s="13" t="s">
        <v>67</v>
      </c>
      <c r="BQ85" s="15">
        <v>562</v>
      </c>
      <c r="BR85" s="15">
        <v>262</v>
      </c>
      <c r="BS85" s="15">
        <v>532.022274372835</v>
      </c>
      <c r="BT85" s="15">
        <v>311.84068877494258</v>
      </c>
      <c r="BU85" s="15">
        <v>562</v>
      </c>
      <c r="BV85" s="15">
        <v>262</v>
      </c>
      <c r="BW85" s="15">
        <v>526.9516492081766</v>
      </c>
      <c r="BX85" s="15">
        <v>226.9516492081766</v>
      </c>
      <c r="BY85" s="15">
        <v>520.1895259706298</v>
      </c>
      <c r="BZ85" s="15">
        <v>562</v>
      </c>
      <c r="CA85" s="15">
        <v>519.45504030833752</v>
      </c>
      <c r="CB85" s="15">
        <v>468.32384647509366</v>
      </c>
      <c r="CC85" s="15">
        <v>418.85501103576155</v>
      </c>
      <c r="CD85" s="15">
        <v>544.62834762160344</v>
      </c>
      <c r="CE85" s="15">
        <v>532.42466840160785</v>
      </c>
      <c r="CF85" s="15">
        <v>562</v>
      </c>
      <c r="CG85" s="15">
        <v>562</v>
      </c>
      <c r="CH85" s="15">
        <v>330.88735622774072</v>
      </c>
      <c r="CI85" s="15">
        <v>248.1673006391178</v>
      </c>
      <c r="CJ85" s="15">
        <v>247.1694122868314</v>
      </c>
      <c r="CK85" s="15">
        <v>547.1694122868314</v>
      </c>
      <c r="CL85" s="15">
        <v>510</v>
      </c>
      <c r="CM85" s="15">
        <v>0</v>
      </c>
      <c r="CN85" s="15">
        <v>0</v>
      </c>
      <c r="CP85" s="13" t="s">
        <v>40</v>
      </c>
      <c r="CQ85" s="13" t="s">
        <v>67</v>
      </c>
      <c r="CR85" s="15">
        <v>76.637264658730601</v>
      </c>
      <c r="CS85" s="15">
        <v>73.439600000000013</v>
      </c>
      <c r="CT85" s="15">
        <v>73.439600000000013</v>
      </c>
      <c r="CU85" s="15">
        <v>73.439600000000013</v>
      </c>
      <c r="CV85" s="15">
        <v>73.439600000000013</v>
      </c>
      <c r="CW85" s="15">
        <v>73.439600000000013</v>
      </c>
      <c r="CX85" s="15">
        <v>73.439600000000013</v>
      </c>
      <c r="CY85" s="15">
        <v>73.439600000000013</v>
      </c>
      <c r="CZ85" s="15">
        <v>73.439600000000013</v>
      </c>
      <c r="DA85" s="15">
        <v>73.439600000000013</v>
      </c>
      <c r="DB85" s="15">
        <v>73.439600000000013</v>
      </c>
      <c r="DC85" s="15">
        <v>73.439600000000013</v>
      </c>
      <c r="DD85" s="15">
        <v>73.439600000000013</v>
      </c>
      <c r="DE85" s="15">
        <v>73.439600000000013</v>
      </c>
      <c r="DF85" s="15">
        <v>73.439600000000013</v>
      </c>
      <c r="DG85" s="15">
        <v>73.439600000000013</v>
      </c>
      <c r="DH85" s="15">
        <v>73.439600000000013</v>
      </c>
      <c r="DI85" s="15">
        <v>73.439600000000013</v>
      </c>
      <c r="DJ85" s="15">
        <v>73.439600000000013</v>
      </c>
      <c r="DK85" s="15">
        <v>73.439600000000013</v>
      </c>
      <c r="DL85" s="15">
        <v>73.439600000000013</v>
      </c>
      <c r="DM85" s="15">
        <v>73.439600000000013</v>
      </c>
      <c r="DN85" s="15">
        <v>0</v>
      </c>
      <c r="DO85" s="15">
        <v>0</v>
      </c>
    </row>
    <row r="86" spans="1:119" x14ac:dyDescent="0.35">
      <c r="E86" s="13" t="s">
        <v>41</v>
      </c>
      <c r="F86" s="10">
        <v>1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E86" s="13" t="s">
        <v>41</v>
      </c>
      <c r="AF86" s="13" t="s">
        <v>68</v>
      </c>
      <c r="AG86" s="15">
        <v>347.84999999999991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9"/>
      <c r="BF86" s="16">
        <v>9</v>
      </c>
      <c r="BG86" s="22">
        <v>853.80000000000007</v>
      </c>
      <c r="BH86" s="19"/>
      <c r="BI86" s="14">
        <v>19</v>
      </c>
      <c r="BJ86" s="22">
        <v>853.80000000000007</v>
      </c>
      <c r="BK86" s="20"/>
      <c r="BL86" s="20"/>
      <c r="BM86" s="20"/>
      <c r="BO86" s="13" t="s">
        <v>41</v>
      </c>
      <c r="BP86" s="13" t="s">
        <v>68</v>
      </c>
      <c r="BQ86" s="15">
        <v>425.15000000000009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</v>
      </c>
      <c r="CP86" s="13" t="s">
        <v>41</v>
      </c>
      <c r="CQ86" s="13" t="s">
        <v>68</v>
      </c>
      <c r="CR86" s="15">
        <v>84.492840000000001</v>
      </c>
      <c r="CS86" s="15">
        <v>0</v>
      </c>
      <c r="CT86" s="15">
        <v>0</v>
      </c>
      <c r="CU86" s="15">
        <v>0</v>
      </c>
      <c r="CV86" s="15">
        <v>0</v>
      </c>
      <c r="CW86" s="15">
        <v>0</v>
      </c>
      <c r="CX86" s="15">
        <v>0</v>
      </c>
      <c r="CY86" s="15">
        <v>0</v>
      </c>
      <c r="CZ86" s="15">
        <v>0</v>
      </c>
      <c r="DA86" s="15">
        <v>0</v>
      </c>
      <c r="DB86" s="15">
        <v>0</v>
      </c>
      <c r="DC86" s="15">
        <v>0</v>
      </c>
      <c r="DD86" s="15">
        <v>0</v>
      </c>
      <c r="DE86" s="15">
        <v>0</v>
      </c>
      <c r="DF86" s="15">
        <v>0</v>
      </c>
      <c r="DG86" s="15">
        <v>0</v>
      </c>
      <c r="DH86" s="15">
        <v>0</v>
      </c>
      <c r="DI86" s="15">
        <v>0</v>
      </c>
      <c r="DJ86" s="15">
        <v>0</v>
      </c>
      <c r="DK86" s="15">
        <v>0</v>
      </c>
      <c r="DL86" s="15">
        <v>0</v>
      </c>
      <c r="DM86" s="15">
        <v>0</v>
      </c>
      <c r="DN86" s="15">
        <v>0</v>
      </c>
      <c r="DO86" s="15">
        <v>0</v>
      </c>
    </row>
    <row r="87" spans="1:119" x14ac:dyDescent="0.35">
      <c r="E87" s="13" t="s">
        <v>42</v>
      </c>
      <c r="F87" s="10">
        <v>1</v>
      </c>
      <c r="G87" s="10">
        <v>1</v>
      </c>
      <c r="H87" s="10">
        <v>1</v>
      </c>
      <c r="I87" s="10">
        <v>1</v>
      </c>
      <c r="J87" s="10">
        <v>1</v>
      </c>
      <c r="K87" s="10">
        <v>1</v>
      </c>
      <c r="L87" s="10">
        <v>1</v>
      </c>
      <c r="M87" s="10">
        <v>1</v>
      </c>
      <c r="N87" s="10">
        <v>1</v>
      </c>
      <c r="O87" s="10">
        <v>1</v>
      </c>
      <c r="P87" s="10">
        <v>1</v>
      </c>
      <c r="Q87" s="10">
        <v>1</v>
      </c>
      <c r="R87" s="10">
        <v>1</v>
      </c>
      <c r="S87" s="10">
        <v>1</v>
      </c>
      <c r="T87" s="10">
        <v>1</v>
      </c>
      <c r="U87" s="10">
        <v>1</v>
      </c>
      <c r="V87" s="10">
        <v>1</v>
      </c>
      <c r="W87" s="10">
        <v>1</v>
      </c>
      <c r="X87" s="10">
        <v>1</v>
      </c>
      <c r="Y87" s="10">
        <v>1</v>
      </c>
      <c r="Z87" s="10">
        <v>1</v>
      </c>
      <c r="AA87" s="10">
        <v>1</v>
      </c>
      <c r="AB87" s="10">
        <v>1</v>
      </c>
      <c r="AC87" s="10">
        <v>1</v>
      </c>
      <c r="AE87" s="13" t="s">
        <v>42</v>
      </c>
      <c r="AF87" s="13" t="s">
        <v>61</v>
      </c>
      <c r="AG87" s="15">
        <v>660</v>
      </c>
      <c r="AH87" s="15">
        <v>606.24278775510209</v>
      </c>
      <c r="AI87" s="15">
        <v>726.24278775510209</v>
      </c>
      <c r="AJ87" s="15">
        <v>679.55089034013611</v>
      </c>
      <c r="AK87" s="15">
        <v>679.55089034013611</v>
      </c>
      <c r="AL87" s="15">
        <v>773.74135333333334</v>
      </c>
      <c r="AM87" s="15">
        <v>870</v>
      </c>
      <c r="AN87" s="15">
        <v>870</v>
      </c>
      <c r="AO87" s="15">
        <v>750</v>
      </c>
      <c r="AP87" s="15">
        <v>630</v>
      </c>
      <c r="AQ87" s="15">
        <v>661.43959999999993</v>
      </c>
      <c r="AR87" s="15">
        <v>781.43959999999993</v>
      </c>
      <c r="AS87" s="15">
        <v>702.50778367346959</v>
      </c>
      <c r="AT87" s="15">
        <v>781.43960000000004</v>
      </c>
      <c r="AU87" s="15">
        <v>870</v>
      </c>
      <c r="AV87" s="15">
        <v>870</v>
      </c>
      <c r="AW87" s="15">
        <v>750</v>
      </c>
      <c r="AX87" s="15">
        <v>750.24072064399695</v>
      </c>
      <c r="AY87" s="15">
        <v>630.24072064399695</v>
      </c>
      <c r="AZ87" s="15">
        <v>606.24278775510209</v>
      </c>
      <c r="BA87" s="15">
        <v>635.9988609207337</v>
      </c>
      <c r="BB87" s="15">
        <v>755.9988609207337</v>
      </c>
      <c r="BC87" s="15">
        <v>674.51895789627815</v>
      </c>
      <c r="BD87" s="15">
        <v>656.86117551020413</v>
      </c>
      <c r="BE87" s="9"/>
      <c r="BF87" s="16">
        <v>10</v>
      </c>
      <c r="BG87" s="22">
        <v>853.80000000000007</v>
      </c>
      <c r="BH87" s="19"/>
      <c r="BI87" s="14">
        <v>20</v>
      </c>
      <c r="BJ87" s="22">
        <v>853.80000000000007</v>
      </c>
      <c r="BK87" s="20"/>
      <c r="BL87" s="20"/>
      <c r="BM87" s="20"/>
      <c r="BO87" s="13" t="s">
        <v>42</v>
      </c>
      <c r="BP87" s="13" t="s">
        <v>61</v>
      </c>
      <c r="BQ87" s="15">
        <v>210</v>
      </c>
      <c r="BR87" s="15">
        <v>263.75721224489791</v>
      </c>
      <c r="BS87" s="15">
        <v>143.75721224489791</v>
      </c>
      <c r="BT87" s="15">
        <v>190.44910965986389</v>
      </c>
      <c r="BU87" s="15">
        <v>190.44910965986389</v>
      </c>
      <c r="BV87" s="15">
        <v>96.258646666666664</v>
      </c>
      <c r="BW87" s="15">
        <v>0</v>
      </c>
      <c r="BX87" s="15">
        <v>0</v>
      </c>
      <c r="BY87" s="15">
        <v>120</v>
      </c>
      <c r="BZ87" s="15">
        <v>240</v>
      </c>
      <c r="CA87" s="15">
        <v>208.56040000000007</v>
      </c>
      <c r="CB87" s="15">
        <v>88.560400000000072</v>
      </c>
      <c r="CC87" s="15">
        <v>167.49221632653041</v>
      </c>
      <c r="CD87" s="15">
        <v>88.560399999999959</v>
      </c>
      <c r="CE87" s="15">
        <v>0</v>
      </c>
      <c r="CF87" s="15">
        <v>0</v>
      </c>
      <c r="CG87" s="15">
        <v>120</v>
      </c>
      <c r="CH87" s="15">
        <v>119.75927935600305</v>
      </c>
      <c r="CI87" s="15">
        <v>239.75927935600305</v>
      </c>
      <c r="CJ87" s="15">
        <v>263.75721224489791</v>
      </c>
      <c r="CK87" s="15">
        <v>234.0011390792663</v>
      </c>
      <c r="CL87" s="15">
        <v>114.0011390792663</v>
      </c>
      <c r="CM87" s="15">
        <v>195.48104210372185</v>
      </c>
      <c r="CN87" s="15">
        <v>213.13882448979587</v>
      </c>
      <c r="CP87" s="13" t="s">
        <v>42</v>
      </c>
      <c r="CQ87" s="13" t="s">
        <v>61</v>
      </c>
      <c r="CR87" s="15">
        <v>210</v>
      </c>
      <c r="CS87" s="15">
        <v>263.75721224489791</v>
      </c>
      <c r="CT87" s="15">
        <v>143.75721224489791</v>
      </c>
      <c r="CU87" s="15">
        <v>190.44910965986389</v>
      </c>
      <c r="CV87" s="15">
        <v>190.44910965986389</v>
      </c>
      <c r="CW87" s="15">
        <v>96.258646666666664</v>
      </c>
      <c r="CX87" s="15">
        <v>0</v>
      </c>
      <c r="CY87" s="15">
        <v>0</v>
      </c>
      <c r="CZ87" s="15">
        <v>120</v>
      </c>
      <c r="DA87" s="15">
        <v>240</v>
      </c>
      <c r="DB87" s="15">
        <v>208.56040000000007</v>
      </c>
      <c r="DC87" s="15">
        <v>88.560400000000072</v>
      </c>
      <c r="DD87" s="15">
        <v>167.49221632653041</v>
      </c>
      <c r="DE87" s="15">
        <v>88.560399999999959</v>
      </c>
      <c r="DF87" s="15">
        <v>0</v>
      </c>
      <c r="DG87" s="15">
        <v>0</v>
      </c>
      <c r="DH87" s="15">
        <v>120</v>
      </c>
      <c r="DI87" s="15">
        <v>119.75927935600303</v>
      </c>
      <c r="DJ87" s="15">
        <v>239.75927935600305</v>
      </c>
      <c r="DK87" s="15">
        <v>263.75721224489791</v>
      </c>
      <c r="DL87" s="15">
        <v>234.0011390792663</v>
      </c>
      <c r="DM87" s="15">
        <v>114.0011390792663</v>
      </c>
      <c r="DN87" s="15">
        <v>195.48104210372182</v>
      </c>
      <c r="DO87" s="15">
        <v>213.13882448979589</v>
      </c>
    </row>
    <row r="88" spans="1:119" x14ac:dyDescent="0.35">
      <c r="E88" s="13" t="s">
        <v>43</v>
      </c>
      <c r="F88" s="10">
        <v>1</v>
      </c>
      <c r="G88" s="10">
        <v>1</v>
      </c>
      <c r="H88" s="10">
        <v>1</v>
      </c>
      <c r="I88" s="10">
        <v>1</v>
      </c>
      <c r="J88" s="10">
        <v>1</v>
      </c>
      <c r="K88" s="10">
        <v>1</v>
      </c>
      <c r="L88" s="10">
        <v>1</v>
      </c>
      <c r="M88" s="10">
        <v>1</v>
      </c>
      <c r="N88" s="10">
        <v>1</v>
      </c>
      <c r="O88" s="10">
        <v>1</v>
      </c>
      <c r="P88" s="10">
        <v>1</v>
      </c>
      <c r="Q88" s="10">
        <v>1</v>
      </c>
      <c r="R88" s="10">
        <v>1</v>
      </c>
      <c r="S88" s="10">
        <v>1</v>
      </c>
      <c r="T88" s="10">
        <v>1</v>
      </c>
      <c r="U88" s="10">
        <v>1</v>
      </c>
      <c r="V88" s="10">
        <v>1</v>
      </c>
      <c r="W88" s="10">
        <v>1</v>
      </c>
      <c r="X88" s="10">
        <v>1</v>
      </c>
      <c r="Y88" s="10">
        <v>1</v>
      </c>
      <c r="Z88" s="10">
        <v>1</v>
      </c>
      <c r="AA88" s="10">
        <v>1</v>
      </c>
      <c r="AB88" s="10">
        <v>1</v>
      </c>
      <c r="AC88" s="10">
        <v>1</v>
      </c>
      <c r="AE88" s="13" t="s">
        <v>43</v>
      </c>
      <c r="AF88" s="13" t="s">
        <v>69</v>
      </c>
      <c r="AG88" s="15">
        <v>603.8268346587306</v>
      </c>
      <c r="AH88" s="15">
        <v>631.04945591836736</v>
      </c>
      <c r="AI88" s="15">
        <v>600</v>
      </c>
      <c r="AJ88" s="15">
        <v>720</v>
      </c>
      <c r="AK88" s="15">
        <v>600</v>
      </c>
      <c r="AL88" s="15">
        <v>600</v>
      </c>
      <c r="AM88" s="15">
        <v>600</v>
      </c>
      <c r="AN88" s="15">
        <v>600</v>
      </c>
      <c r="AO88" s="15">
        <v>720</v>
      </c>
      <c r="AP88" s="15">
        <v>840</v>
      </c>
      <c r="AQ88" s="15">
        <v>719.99999999999989</v>
      </c>
      <c r="AR88" s="15">
        <v>720</v>
      </c>
      <c r="AS88" s="15">
        <v>600</v>
      </c>
      <c r="AT88" s="15">
        <v>720</v>
      </c>
      <c r="AU88" s="15">
        <v>600</v>
      </c>
      <c r="AV88" s="15">
        <v>600</v>
      </c>
      <c r="AW88" s="15">
        <v>600</v>
      </c>
      <c r="AX88" s="15">
        <v>720</v>
      </c>
      <c r="AY88" s="15">
        <v>808.99539935600308</v>
      </c>
      <c r="AZ88" s="15">
        <v>749.75607316563162</v>
      </c>
      <c r="BA88" s="15">
        <v>840</v>
      </c>
      <c r="BB88" s="15">
        <v>729.30008233925605</v>
      </c>
      <c r="BC88" s="15">
        <v>609.30008233925605</v>
      </c>
      <c r="BD88" s="15">
        <v>670.21734367346926</v>
      </c>
      <c r="BE88" s="9"/>
      <c r="BF88" s="21"/>
      <c r="BH88" s="20"/>
      <c r="BI88" s="20"/>
      <c r="BK88" s="20"/>
      <c r="BL88" s="20"/>
      <c r="BM88" s="20"/>
      <c r="BO88" s="13" t="s">
        <v>43</v>
      </c>
      <c r="BP88" s="13" t="s">
        <v>69</v>
      </c>
      <c r="BQ88" s="15">
        <v>236.1731653412694</v>
      </c>
      <c r="BR88" s="15">
        <v>208.95054408163264</v>
      </c>
      <c r="BS88" s="15">
        <v>240</v>
      </c>
      <c r="BT88" s="15">
        <v>120</v>
      </c>
      <c r="BU88" s="15">
        <v>240</v>
      </c>
      <c r="BV88" s="15">
        <v>240</v>
      </c>
      <c r="BW88" s="15">
        <v>240</v>
      </c>
      <c r="BX88" s="15">
        <v>240</v>
      </c>
      <c r="BY88" s="15">
        <v>120</v>
      </c>
      <c r="BZ88" s="15">
        <v>0</v>
      </c>
      <c r="CA88" s="15">
        <v>120.00000000000011</v>
      </c>
      <c r="CB88" s="15">
        <v>120</v>
      </c>
      <c r="CC88" s="15">
        <v>240</v>
      </c>
      <c r="CD88" s="15">
        <v>120</v>
      </c>
      <c r="CE88" s="15">
        <v>240</v>
      </c>
      <c r="CF88" s="15">
        <v>240</v>
      </c>
      <c r="CG88" s="15">
        <v>240</v>
      </c>
      <c r="CH88" s="15">
        <v>120</v>
      </c>
      <c r="CI88" s="15">
        <v>31.004600643996923</v>
      </c>
      <c r="CJ88" s="15">
        <v>90.243926834368381</v>
      </c>
      <c r="CK88" s="15">
        <v>0</v>
      </c>
      <c r="CL88" s="15">
        <v>110.69991766074395</v>
      </c>
      <c r="CM88" s="15">
        <v>230.69991766074395</v>
      </c>
      <c r="CN88" s="15">
        <v>169.78265632653074</v>
      </c>
      <c r="CP88" s="13" t="s">
        <v>43</v>
      </c>
      <c r="CQ88" s="13" t="s">
        <v>69</v>
      </c>
      <c r="CR88" s="15">
        <v>236.1731653412694</v>
      </c>
      <c r="CS88" s="15">
        <v>208.95054408163264</v>
      </c>
      <c r="CT88" s="15">
        <v>240</v>
      </c>
      <c r="CU88" s="15">
        <v>120</v>
      </c>
      <c r="CV88" s="15">
        <v>240</v>
      </c>
      <c r="CW88" s="15">
        <v>240</v>
      </c>
      <c r="CX88" s="15">
        <v>240</v>
      </c>
      <c r="CY88" s="15">
        <v>240</v>
      </c>
      <c r="CZ88" s="15">
        <v>120</v>
      </c>
      <c r="DA88" s="15">
        <v>0</v>
      </c>
      <c r="DB88" s="15">
        <v>120.00000000000011</v>
      </c>
      <c r="DC88" s="15">
        <v>120</v>
      </c>
      <c r="DD88" s="15">
        <v>240</v>
      </c>
      <c r="DE88" s="15">
        <v>120</v>
      </c>
      <c r="DF88" s="15">
        <v>240</v>
      </c>
      <c r="DG88" s="15">
        <v>240</v>
      </c>
      <c r="DH88" s="15">
        <v>240</v>
      </c>
      <c r="DI88" s="15">
        <v>120</v>
      </c>
      <c r="DJ88" s="15">
        <v>31.004600643996923</v>
      </c>
      <c r="DK88" s="15">
        <v>90.243926834368381</v>
      </c>
      <c r="DL88" s="15">
        <v>0</v>
      </c>
      <c r="DM88" s="15">
        <v>110.69991766074395</v>
      </c>
      <c r="DN88" s="15">
        <v>230.69991766074398</v>
      </c>
      <c r="DO88" s="15">
        <v>169.78265632653074</v>
      </c>
    </row>
    <row r="89" spans="1:119" x14ac:dyDescent="0.35">
      <c r="BE89" s="9"/>
    </row>
    <row r="90" spans="1:119" x14ac:dyDescent="0.35">
      <c r="BE90" s="9"/>
    </row>
    <row r="91" spans="1:119" x14ac:dyDescent="0.35">
      <c r="A91" s="23" t="s">
        <v>70</v>
      </c>
      <c r="BE91" s="9"/>
    </row>
    <row r="92" spans="1:119" x14ac:dyDescent="0.35">
      <c r="A92" s="23" t="s">
        <v>71</v>
      </c>
      <c r="BE92" s="9"/>
    </row>
    <row r="93" spans="1:119" x14ac:dyDescent="0.35">
      <c r="BE93" s="9"/>
    </row>
    <row r="94" spans="1:119" x14ac:dyDescent="0.35">
      <c r="A94" t="s">
        <v>51</v>
      </c>
      <c r="E94" t="s">
        <v>33</v>
      </c>
      <c r="AE94" t="s">
        <v>45</v>
      </c>
      <c r="BE94" s="9"/>
      <c r="BF94" t="s">
        <v>48</v>
      </c>
      <c r="BO94" t="s">
        <v>46</v>
      </c>
      <c r="CP94" t="s">
        <v>47</v>
      </c>
    </row>
    <row r="95" spans="1:119" x14ac:dyDescent="0.35">
      <c r="A95" s="72" t="s">
        <v>1</v>
      </c>
      <c r="B95" s="24" t="s">
        <v>5</v>
      </c>
      <c r="C95" s="6">
        <v>0</v>
      </c>
      <c r="E95" s="66" t="s">
        <v>44</v>
      </c>
      <c r="F95" s="66" t="s">
        <v>22</v>
      </c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E95" s="62" t="s">
        <v>44</v>
      </c>
      <c r="AF95" s="63"/>
      <c r="AG95" s="66" t="s">
        <v>22</v>
      </c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6"/>
      <c r="AW95" s="66"/>
      <c r="AX95" s="66"/>
      <c r="AY95" s="66"/>
      <c r="AZ95" s="66"/>
      <c r="BA95" s="66"/>
      <c r="BB95" s="66"/>
      <c r="BC95" s="66"/>
      <c r="BD95" s="66"/>
      <c r="BE95" s="9"/>
      <c r="BF95" s="11" t="s">
        <v>22</v>
      </c>
      <c r="BG95" s="11" t="s">
        <v>49</v>
      </c>
      <c r="BH95" s="17"/>
      <c r="BI95" s="11" t="s">
        <v>22</v>
      </c>
      <c r="BJ95" s="11" t="s">
        <v>49</v>
      </c>
      <c r="BK95" s="17"/>
      <c r="BL95" s="11" t="s">
        <v>22</v>
      </c>
      <c r="BM95" s="11" t="s">
        <v>49</v>
      </c>
      <c r="BO95" s="62" t="s">
        <v>44</v>
      </c>
      <c r="BP95" s="63"/>
      <c r="BQ95" s="66" t="s">
        <v>22</v>
      </c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66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P95" s="62" t="s">
        <v>44</v>
      </c>
      <c r="CQ95" s="63"/>
      <c r="CR95" s="66" t="s">
        <v>22</v>
      </c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</row>
    <row r="96" spans="1:119" x14ac:dyDescent="0.35">
      <c r="A96" s="73"/>
      <c r="B96" s="24" t="s">
        <v>6</v>
      </c>
      <c r="C96" s="6">
        <v>3752693.66</v>
      </c>
      <c r="E96" s="66"/>
      <c r="F96" s="12">
        <v>1</v>
      </c>
      <c r="G96" s="12">
        <v>2</v>
      </c>
      <c r="H96" s="12">
        <v>3</v>
      </c>
      <c r="I96" s="12">
        <v>4</v>
      </c>
      <c r="J96" s="12">
        <v>5</v>
      </c>
      <c r="K96" s="12">
        <v>6</v>
      </c>
      <c r="L96" s="12">
        <v>7</v>
      </c>
      <c r="M96" s="12">
        <v>8</v>
      </c>
      <c r="N96" s="12">
        <v>9</v>
      </c>
      <c r="O96" s="12">
        <v>10</v>
      </c>
      <c r="P96" s="12">
        <v>11</v>
      </c>
      <c r="Q96" s="12">
        <v>12</v>
      </c>
      <c r="R96" s="12">
        <v>13</v>
      </c>
      <c r="S96" s="12">
        <v>14</v>
      </c>
      <c r="T96" s="12">
        <v>15</v>
      </c>
      <c r="U96" s="12">
        <v>16</v>
      </c>
      <c r="V96" s="12">
        <v>17</v>
      </c>
      <c r="W96" s="12">
        <v>18</v>
      </c>
      <c r="X96" s="12">
        <v>19</v>
      </c>
      <c r="Y96" s="12">
        <v>20</v>
      </c>
      <c r="Z96" s="12">
        <v>21</v>
      </c>
      <c r="AA96" s="12">
        <v>22</v>
      </c>
      <c r="AB96" s="12">
        <v>23</v>
      </c>
      <c r="AC96" s="12">
        <v>24</v>
      </c>
      <c r="AE96" s="64"/>
      <c r="AF96" s="65"/>
      <c r="AG96" s="14">
        <v>1</v>
      </c>
      <c r="AH96" s="14">
        <v>2</v>
      </c>
      <c r="AI96" s="14">
        <v>3</v>
      </c>
      <c r="AJ96" s="14">
        <v>4</v>
      </c>
      <c r="AK96" s="14">
        <v>5</v>
      </c>
      <c r="AL96" s="14">
        <v>6</v>
      </c>
      <c r="AM96" s="14">
        <v>7</v>
      </c>
      <c r="AN96" s="14">
        <v>8</v>
      </c>
      <c r="AO96" s="14">
        <v>9</v>
      </c>
      <c r="AP96" s="14">
        <v>10</v>
      </c>
      <c r="AQ96" s="14">
        <v>11</v>
      </c>
      <c r="AR96" s="14">
        <v>12</v>
      </c>
      <c r="AS96" s="14">
        <v>13</v>
      </c>
      <c r="AT96" s="14">
        <v>14</v>
      </c>
      <c r="AU96" s="14">
        <v>15</v>
      </c>
      <c r="AV96" s="14">
        <v>16</v>
      </c>
      <c r="AW96" s="14">
        <v>17</v>
      </c>
      <c r="AX96" s="14">
        <v>18</v>
      </c>
      <c r="AY96" s="14">
        <v>19</v>
      </c>
      <c r="AZ96" s="14">
        <v>20</v>
      </c>
      <c r="BA96" s="14">
        <v>21</v>
      </c>
      <c r="BB96" s="14">
        <v>22</v>
      </c>
      <c r="BC96" s="14">
        <v>23</v>
      </c>
      <c r="BD96" s="14">
        <v>24</v>
      </c>
      <c r="BE96" s="9"/>
      <c r="BF96" s="11">
        <v>1</v>
      </c>
      <c r="BG96" s="22">
        <v>853.80000000000007</v>
      </c>
      <c r="BH96" s="18"/>
      <c r="BI96" s="14">
        <v>11</v>
      </c>
      <c r="BJ96" s="22">
        <v>853.80000000000007</v>
      </c>
      <c r="BK96" s="18"/>
      <c r="BL96" s="14">
        <v>21</v>
      </c>
      <c r="BM96" s="22">
        <v>853.80000000000007</v>
      </c>
      <c r="BO96" s="64"/>
      <c r="BP96" s="65"/>
      <c r="BQ96" s="14">
        <v>1</v>
      </c>
      <c r="BR96" s="14">
        <v>2</v>
      </c>
      <c r="BS96" s="14">
        <v>3</v>
      </c>
      <c r="BT96" s="14">
        <v>4</v>
      </c>
      <c r="BU96" s="14">
        <v>5</v>
      </c>
      <c r="BV96" s="14">
        <v>6</v>
      </c>
      <c r="BW96" s="14">
        <v>7</v>
      </c>
      <c r="BX96" s="14">
        <v>8</v>
      </c>
      <c r="BY96" s="14">
        <v>9</v>
      </c>
      <c r="BZ96" s="14">
        <v>10</v>
      </c>
      <c r="CA96" s="14">
        <v>11</v>
      </c>
      <c r="CB96" s="14">
        <v>12</v>
      </c>
      <c r="CC96" s="14">
        <v>13</v>
      </c>
      <c r="CD96" s="14">
        <v>14</v>
      </c>
      <c r="CE96" s="14">
        <v>15</v>
      </c>
      <c r="CF96" s="14">
        <v>16</v>
      </c>
      <c r="CG96" s="14">
        <v>17</v>
      </c>
      <c r="CH96" s="14">
        <v>18</v>
      </c>
      <c r="CI96" s="14">
        <v>19</v>
      </c>
      <c r="CJ96" s="14">
        <v>20</v>
      </c>
      <c r="CK96" s="14">
        <v>21</v>
      </c>
      <c r="CL96" s="14">
        <v>22</v>
      </c>
      <c r="CM96" s="14">
        <v>23</v>
      </c>
      <c r="CN96" s="14">
        <v>24</v>
      </c>
      <c r="CP96" s="64"/>
      <c r="CQ96" s="65"/>
      <c r="CR96" s="14">
        <v>1</v>
      </c>
      <c r="CS96" s="14">
        <v>2</v>
      </c>
      <c r="CT96" s="14">
        <v>3</v>
      </c>
      <c r="CU96" s="14">
        <v>4</v>
      </c>
      <c r="CV96" s="14">
        <v>5</v>
      </c>
      <c r="CW96" s="14">
        <v>6</v>
      </c>
      <c r="CX96" s="14">
        <v>7</v>
      </c>
      <c r="CY96" s="14">
        <v>8</v>
      </c>
      <c r="CZ96" s="14">
        <v>9</v>
      </c>
      <c r="DA96" s="14">
        <v>10</v>
      </c>
      <c r="DB96" s="14">
        <v>11</v>
      </c>
      <c r="DC96" s="14">
        <v>12</v>
      </c>
      <c r="DD96" s="14">
        <v>13</v>
      </c>
      <c r="DE96" s="14">
        <v>14</v>
      </c>
      <c r="DF96" s="14">
        <v>15</v>
      </c>
      <c r="DG96" s="14">
        <v>16</v>
      </c>
      <c r="DH96" s="14">
        <v>17</v>
      </c>
      <c r="DI96" s="14">
        <v>18</v>
      </c>
      <c r="DJ96" s="14">
        <v>19</v>
      </c>
      <c r="DK96" s="14">
        <v>20</v>
      </c>
      <c r="DL96" s="14">
        <v>21</v>
      </c>
      <c r="DM96" s="14">
        <v>22</v>
      </c>
      <c r="DN96" s="14">
        <v>23</v>
      </c>
      <c r="DO96" s="14">
        <v>24</v>
      </c>
    </row>
    <row r="97" spans="1:121" x14ac:dyDescent="0.35">
      <c r="A97" s="73"/>
      <c r="B97" s="24" t="s">
        <v>7</v>
      </c>
      <c r="C97" s="6">
        <v>551968.11</v>
      </c>
      <c r="E97" s="13" t="s">
        <v>34</v>
      </c>
      <c r="F97" s="10">
        <v>1</v>
      </c>
      <c r="G97" s="10">
        <v>1</v>
      </c>
      <c r="H97" s="10">
        <v>1</v>
      </c>
      <c r="I97" s="10">
        <v>1</v>
      </c>
      <c r="J97" s="10">
        <v>1</v>
      </c>
      <c r="K97" s="10">
        <v>1</v>
      </c>
      <c r="L97" s="10">
        <v>1</v>
      </c>
      <c r="M97" s="10">
        <v>1</v>
      </c>
      <c r="N97" s="10">
        <v>1</v>
      </c>
      <c r="O97" s="10">
        <v>1</v>
      </c>
      <c r="P97" s="10">
        <v>1</v>
      </c>
      <c r="Q97" s="10">
        <v>1</v>
      </c>
      <c r="R97" s="10">
        <v>1</v>
      </c>
      <c r="S97" s="10">
        <v>1</v>
      </c>
      <c r="T97" s="10">
        <v>1</v>
      </c>
      <c r="U97" s="10">
        <v>1</v>
      </c>
      <c r="V97" s="10">
        <v>1</v>
      </c>
      <c r="W97" s="10">
        <v>1</v>
      </c>
      <c r="X97" s="10">
        <v>1</v>
      </c>
      <c r="Y97" s="10">
        <v>1</v>
      </c>
      <c r="Z97" s="10">
        <v>1</v>
      </c>
      <c r="AA97" s="10">
        <v>1</v>
      </c>
      <c r="AB97" s="10">
        <v>1</v>
      </c>
      <c r="AC97" s="10">
        <v>1</v>
      </c>
      <c r="AE97" s="13" t="s">
        <v>34</v>
      </c>
      <c r="AF97" s="13" t="s">
        <v>60</v>
      </c>
      <c r="AG97" s="15">
        <v>1141.8</v>
      </c>
      <c r="AH97" s="15">
        <v>1060.8</v>
      </c>
      <c r="AI97" s="15">
        <v>940.8</v>
      </c>
      <c r="AJ97" s="15">
        <v>1060.8</v>
      </c>
      <c r="AK97" s="15">
        <v>946.07880299251872</v>
      </c>
      <c r="AL97" s="15">
        <v>967.8000000000003</v>
      </c>
      <c r="AM97" s="15">
        <v>1087.8000000000002</v>
      </c>
      <c r="AN97" s="15">
        <v>1141.8000000000002</v>
      </c>
      <c r="AO97" s="15">
        <v>1141.8000000000002</v>
      </c>
      <c r="AP97" s="15">
        <v>1141.8000000000002</v>
      </c>
      <c r="AQ97" s="15">
        <v>1021.8000000000004</v>
      </c>
      <c r="AR97" s="15">
        <v>1141.8000000000002</v>
      </c>
      <c r="AS97" s="15">
        <v>1141.8000000000002</v>
      </c>
      <c r="AT97" s="15">
        <v>1087.8000000000002</v>
      </c>
      <c r="AU97" s="15">
        <v>967.8000000000003</v>
      </c>
      <c r="AV97" s="15">
        <v>1087.8000000000002</v>
      </c>
      <c r="AW97" s="15">
        <v>967.8000000000003</v>
      </c>
      <c r="AX97" s="15">
        <v>1021.8000000000003</v>
      </c>
      <c r="AY97" s="15">
        <v>1141.8000000000002</v>
      </c>
      <c r="AZ97" s="15">
        <v>1141.8000000000002</v>
      </c>
      <c r="BA97" s="15">
        <v>1141.8000000000002</v>
      </c>
      <c r="BB97" s="15">
        <v>1087.8000000000004</v>
      </c>
      <c r="BC97" s="15">
        <v>967.8000000000003</v>
      </c>
      <c r="BD97" s="15">
        <v>967.8000000000003</v>
      </c>
      <c r="BE97" s="9"/>
      <c r="BF97" s="16">
        <v>2</v>
      </c>
      <c r="BG97" s="22">
        <v>853.80000000000007</v>
      </c>
      <c r="BH97" s="19"/>
      <c r="BI97" s="14">
        <v>12</v>
      </c>
      <c r="BJ97" s="22">
        <v>853.80000000000007</v>
      </c>
      <c r="BK97" s="19"/>
      <c r="BL97" s="14">
        <v>22</v>
      </c>
      <c r="BM97" s="22">
        <v>853.80000000000007</v>
      </c>
      <c r="BO97" s="13" t="s">
        <v>34</v>
      </c>
      <c r="BP97" s="13" t="s">
        <v>60</v>
      </c>
      <c r="BQ97" s="15">
        <v>34.200000000000045</v>
      </c>
      <c r="BR97" s="15">
        <v>115.20000000000005</v>
      </c>
      <c r="BS97" s="15">
        <v>235.20000000000005</v>
      </c>
      <c r="BT97" s="15">
        <v>115.20000000000005</v>
      </c>
      <c r="BU97" s="15">
        <v>229.92119700748128</v>
      </c>
      <c r="BV97" s="15">
        <v>208.1999999999997</v>
      </c>
      <c r="BW97" s="15">
        <v>88.199999999999818</v>
      </c>
      <c r="BX97" s="15">
        <v>34.199999999999818</v>
      </c>
      <c r="BY97" s="15">
        <v>34.199999999999818</v>
      </c>
      <c r="BZ97" s="15">
        <v>34.199999999999818</v>
      </c>
      <c r="CA97" s="15">
        <v>154.19999999999959</v>
      </c>
      <c r="CB97" s="15">
        <v>34.199999999999818</v>
      </c>
      <c r="CC97" s="15">
        <v>34.199999999999818</v>
      </c>
      <c r="CD97" s="15">
        <v>88.199999999999818</v>
      </c>
      <c r="CE97" s="15">
        <v>208.1999999999997</v>
      </c>
      <c r="CF97" s="15">
        <v>88.199999999999818</v>
      </c>
      <c r="CG97" s="15">
        <v>208.1999999999997</v>
      </c>
      <c r="CH97" s="15">
        <v>154.1999999999997</v>
      </c>
      <c r="CI97" s="15">
        <v>34.199999999999818</v>
      </c>
      <c r="CJ97" s="15">
        <v>34.199999999999818</v>
      </c>
      <c r="CK97" s="15">
        <v>34.199999999999818</v>
      </c>
      <c r="CL97" s="15">
        <v>88.199999999999591</v>
      </c>
      <c r="CM97" s="15">
        <v>208.1999999999997</v>
      </c>
      <c r="CN97" s="15">
        <v>208.1999999999997</v>
      </c>
      <c r="CP97" s="13" t="s">
        <v>34</v>
      </c>
      <c r="CQ97" s="13" t="s">
        <v>60</v>
      </c>
      <c r="CR97" s="15">
        <v>34.200000000000017</v>
      </c>
      <c r="CS97" s="15">
        <v>115.20000000000005</v>
      </c>
      <c r="CT97" s="15">
        <v>235.20000000000005</v>
      </c>
      <c r="CU97" s="15">
        <v>115.20000000000005</v>
      </c>
      <c r="CV97" s="15">
        <v>229.92119700748151</v>
      </c>
      <c r="CW97" s="15">
        <v>208.19999999999987</v>
      </c>
      <c r="CX97" s="15">
        <v>88.199999999999989</v>
      </c>
      <c r="CY97" s="15">
        <v>34.199999999999953</v>
      </c>
      <c r="CZ97" s="15">
        <v>34.199999999999953</v>
      </c>
      <c r="DA97" s="15">
        <v>34.199999999999953</v>
      </c>
      <c r="DB97" s="15">
        <v>154.19999999999962</v>
      </c>
      <c r="DC97" s="15">
        <v>34.199999999999953</v>
      </c>
      <c r="DD97" s="15">
        <v>34.199999999999953</v>
      </c>
      <c r="DE97" s="15">
        <v>88.199999999999989</v>
      </c>
      <c r="DF97" s="15">
        <v>208.19999999999987</v>
      </c>
      <c r="DG97" s="15">
        <v>88.199999999999818</v>
      </c>
      <c r="DH97" s="15">
        <v>208.1999999999997</v>
      </c>
      <c r="DI97" s="15">
        <v>154.19999999999982</v>
      </c>
      <c r="DJ97" s="15">
        <v>34.199999999999818</v>
      </c>
      <c r="DK97" s="15">
        <v>34.199999999999953</v>
      </c>
      <c r="DL97" s="15">
        <v>34.199999999999953</v>
      </c>
      <c r="DM97" s="15">
        <v>88.19999999999979</v>
      </c>
      <c r="DN97" s="15">
        <v>208.19999999999987</v>
      </c>
      <c r="DO97" s="15">
        <v>208.19999999999987</v>
      </c>
    </row>
    <row r="98" spans="1:121" x14ac:dyDescent="0.35">
      <c r="A98" s="74"/>
      <c r="B98" s="24" t="s">
        <v>8</v>
      </c>
      <c r="C98" s="6">
        <v>0</v>
      </c>
      <c r="E98" s="13" t="s">
        <v>35</v>
      </c>
      <c r="F98" s="10">
        <v>1</v>
      </c>
      <c r="G98" s="10">
        <v>1</v>
      </c>
      <c r="H98" s="10">
        <v>1</v>
      </c>
      <c r="I98" s="10">
        <v>1</v>
      </c>
      <c r="J98" s="10">
        <v>1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1</v>
      </c>
      <c r="Q98" s="10">
        <v>1</v>
      </c>
      <c r="R98" s="10">
        <v>1</v>
      </c>
      <c r="S98" s="10">
        <v>1</v>
      </c>
      <c r="T98" s="10">
        <v>1</v>
      </c>
      <c r="U98" s="10">
        <v>1</v>
      </c>
      <c r="V98" s="10">
        <v>1</v>
      </c>
      <c r="W98" s="10">
        <v>1</v>
      </c>
      <c r="X98" s="10">
        <v>1</v>
      </c>
      <c r="Y98" s="10">
        <v>1</v>
      </c>
      <c r="Z98" s="10">
        <v>1</v>
      </c>
      <c r="AA98" s="10">
        <v>1</v>
      </c>
      <c r="AB98" s="10">
        <v>1</v>
      </c>
      <c r="AC98" s="10">
        <v>1</v>
      </c>
      <c r="AE98" s="13" t="s">
        <v>35</v>
      </c>
      <c r="AF98" s="13" t="s">
        <v>62</v>
      </c>
      <c r="AG98" s="15">
        <v>340</v>
      </c>
      <c r="AH98" s="15">
        <v>390.16845392008656</v>
      </c>
      <c r="AI98" s="15">
        <v>340</v>
      </c>
      <c r="AJ98" s="15">
        <v>340</v>
      </c>
      <c r="AK98" s="15">
        <v>340</v>
      </c>
      <c r="AL98" s="15">
        <v>340</v>
      </c>
      <c r="AM98" s="15">
        <v>340</v>
      </c>
      <c r="AN98" s="15">
        <v>340</v>
      </c>
      <c r="AO98" s="15">
        <v>525.0719129628734</v>
      </c>
      <c r="AP98" s="15">
        <v>825.0719129628734</v>
      </c>
      <c r="AQ98" s="15">
        <v>858.98455969166218</v>
      </c>
      <c r="AR98" s="15">
        <v>610.11575352490684</v>
      </c>
      <c r="AS98" s="15">
        <v>659.58458896423883</v>
      </c>
      <c r="AT98" s="15">
        <v>833.81125237839672</v>
      </c>
      <c r="AU98" s="15">
        <v>533.81125237839672</v>
      </c>
      <c r="AV98" s="15">
        <v>640.58914377713904</v>
      </c>
      <c r="AW98" s="15">
        <v>578.448801287994</v>
      </c>
      <c r="AX98" s="15">
        <v>778.55684441625669</v>
      </c>
      <c r="AY98" s="15">
        <v>530.27229936088236</v>
      </c>
      <c r="AZ98" s="15">
        <v>710.40000000000066</v>
      </c>
      <c r="BA98" s="15">
        <v>658.68454505537477</v>
      </c>
      <c r="BB98" s="15">
        <v>852.29894325998987</v>
      </c>
      <c r="BC98" s="15">
        <v>608.26245596916738</v>
      </c>
      <c r="BD98" s="15">
        <v>340</v>
      </c>
      <c r="BE98" s="9"/>
      <c r="BF98" s="16">
        <v>3</v>
      </c>
      <c r="BG98" s="22">
        <v>853.80000000000007</v>
      </c>
      <c r="BH98" s="19"/>
      <c r="BI98" s="14">
        <v>13</v>
      </c>
      <c r="BJ98" s="22">
        <v>853.80000000000007</v>
      </c>
      <c r="BK98" s="19"/>
      <c r="BL98" s="14">
        <v>23</v>
      </c>
      <c r="BM98" s="22">
        <v>853.80000000000007</v>
      </c>
      <c r="BO98" s="13" t="s">
        <v>35</v>
      </c>
      <c r="BP98" s="13" t="s">
        <v>62</v>
      </c>
      <c r="BQ98" s="15">
        <v>785</v>
      </c>
      <c r="BR98" s="15">
        <v>734.83154607991344</v>
      </c>
      <c r="BS98" s="15">
        <v>785</v>
      </c>
      <c r="BT98" s="15">
        <v>785</v>
      </c>
      <c r="BU98" s="15">
        <v>785</v>
      </c>
      <c r="BV98" s="15">
        <v>785</v>
      </c>
      <c r="BW98" s="15">
        <v>785</v>
      </c>
      <c r="BX98" s="15">
        <v>785</v>
      </c>
      <c r="BY98" s="15">
        <v>599.9280870371266</v>
      </c>
      <c r="BZ98" s="15">
        <v>299.9280870371266</v>
      </c>
      <c r="CA98" s="15">
        <v>266.01544030833782</v>
      </c>
      <c r="CB98" s="15">
        <v>514.88424647509316</v>
      </c>
      <c r="CC98" s="15">
        <v>465.41541103576117</v>
      </c>
      <c r="CD98" s="15">
        <v>291.18874762160328</v>
      </c>
      <c r="CE98" s="15">
        <v>591.18874762160328</v>
      </c>
      <c r="CF98" s="15">
        <v>484.41085622286096</v>
      </c>
      <c r="CG98" s="15">
        <v>546.551198712006</v>
      </c>
      <c r="CH98" s="15">
        <v>346.44315558374331</v>
      </c>
      <c r="CI98" s="15">
        <v>594.72770063911764</v>
      </c>
      <c r="CJ98" s="15">
        <v>414.59999999999934</v>
      </c>
      <c r="CK98" s="15">
        <v>466.31545494462523</v>
      </c>
      <c r="CL98" s="15">
        <v>272.70105674001013</v>
      </c>
      <c r="CM98" s="15">
        <v>516.73754403083262</v>
      </c>
      <c r="CN98" s="15">
        <v>785</v>
      </c>
      <c r="CP98" s="13" t="s">
        <v>35</v>
      </c>
      <c r="CQ98" s="13" t="s">
        <v>62</v>
      </c>
      <c r="CR98" s="15">
        <v>225</v>
      </c>
      <c r="CS98" s="15">
        <v>225.00000000000011</v>
      </c>
      <c r="CT98" s="15">
        <v>225.00000000000006</v>
      </c>
      <c r="CU98" s="15">
        <v>225</v>
      </c>
      <c r="CV98" s="15">
        <v>219.95012468827929</v>
      </c>
      <c r="CW98" s="15">
        <v>225.00000000000011</v>
      </c>
      <c r="CX98" s="15">
        <v>225.00000000000011</v>
      </c>
      <c r="CY98" s="15">
        <v>225.00000000000011</v>
      </c>
      <c r="CZ98" s="15">
        <v>225.00000000000011</v>
      </c>
      <c r="DA98" s="15">
        <v>225.00000000000011</v>
      </c>
      <c r="DB98" s="15">
        <v>225.00000000000011</v>
      </c>
      <c r="DC98" s="15">
        <v>225.00000000000011</v>
      </c>
      <c r="DD98" s="15">
        <v>225.00000000000011</v>
      </c>
      <c r="DE98" s="15">
        <v>225.00000000000011</v>
      </c>
      <c r="DF98" s="15">
        <v>225.00000000000011</v>
      </c>
      <c r="DG98" s="15">
        <v>225.00000000000011</v>
      </c>
      <c r="DH98" s="15">
        <v>225.00000000000011</v>
      </c>
      <c r="DI98" s="15">
        <v>225.00000000000011</v>
      </c>
      <c r="DJ98" s="15">
        <v>225.00000000000011</v>
      </c>
      <c r="DK98" s="15">
        <v>225.00000000000011</v>
      </c>
      <c r="DL98" s="15">
        <v>225.00000000000011</v>
      </c>
      <c r="DM98" s="15">
        <v>225.00000000000011</v>
      </c>
      <c r="DN98" s="15">
        <v>225.00000000000011</v>
      </c>
      <c r="DO98" s="15">
        <v>225.00000000000011</v>
      </c>
    </row>
    <row r="99" spans="1:121" x14ac:dyDescent="0.35">
      <c r="A99" s="68" t="s">
        <v>50</v>
      </c>
      <c r="B99" s="69"/>
      <c r="C99" s="6">
        <v>0</v>
      </c>
      <c r="E99" s="13" t="s">
        <v>36</v>
      </c>
      <c r="F99" s="10">
        <v>1</v>
      </c>
      <c r="G99" s="10">
        <v>1</v>
      </c>
      <c r="H99" s="10">
        <v>1</v>
      </c>
      <c r="I99" s="10">
        <v>1</v>
      </c>
      <c r="J99" s="10">
        <v>1</v>
      </c>
      <c r="K99" s="10">
        <v>1</v>
      </c>
      <c r="L99" s="10">
        <v>1</v>
      </c>
      <c r="M99" s="10">
        <v>1</v>
      </c>
      <c r="N99" s="10">
        <v>1</v>
      </c>
      <c r="O99" s="10">
        <v>1</v>
      </c>
      <c r="P99" s="10">
        <v>1</v>
      </c>
      <c r="Q99" s="10">
        <v>1</v>
      </c>
      <c r="R99" s="10">
        <v>1</v>
      </c>
      <c r="S99" s="10">
        <v>1</v>
      </c>
      <c r="T99" s="10">
        <v>1</v>
      </c>
      <c r="U99" s="10">
        <v>1</v>
      </c>
      <c r="V99" s="10">
        <v>1</v>
      </c>
      <c r="W99" s="10">
        <v>1</v>
      </c>
      <c r="X99" s="10">
        <v>1</v>
      </c>
      <c r="Y99" s="10">
        <v>1</v>
      </c>
      <c r="Z99" s="10">
        <v>1</v>
      </c>
      <c r="AA99" s="10">
        <v>1</v>
      </c>
      <c r="AB99" s="10">
        <v>1</v>
      </c>
      <c r="AC99" s="10">
        <v>1</v>
      </c>
      <c r="AE99" s="13" t="s">
        <v>36</v>
      </c>
      <c r="AF99" s="13" t="s">
        <v>63</v>
      </c>
      <c r="AG99" s="15">
        <v>720</v>
      </c>
      <c r="AH99" s="15">
        <v>775.19999999999993</v>
      </c>
      <c r="AI99" s="15">
        <v>775.2</v>
      </c>
      <c r="AJ99" s="15">
        <v>661.58337122505759</v>
      </c>
      <c r="AK99" s="15">
        <v>755.3045682335387</v>
      </c>
      <c r="AL99" s="15">
        <v>775.19999999999993</v>
      </c>
      <c r="AM99" s="15">
        <v>775.19999999999993</v>
      </c>
      <c r="AN99" s="15">
        <v>775.19999999999993</v>
      </c>
      <c r="AO99" s="15">
        <v>775.19999999999993</v>
      </c>
      <c r="AP99" s="15">
        <v>775.19999999999993</v>
      </c>
      <c r="AQ99" s="15">
        <v>895.19999999999993</v>
      </c>
      <c r="AR99" s="15">
        <v>775.19999999999993</v>
      </c>
      <c r="AS99" s="15">
        <v>775.19999999999993</v>
      </c>
      <c r="AT99" s="15">
        <v>775.19999999999993</v>
      </c>
      <c r="AU99" s="15">
        <v>775.19999999999993</v>
      </c>
      <c r="AV99" s="15">
        <v>775.19999999999993</v>
      </c>
      <c r="AW99" s="15">
        <v>775.19999999999993</v>
      </c>
      <c r="AX99" s="15">
        <v>775.2</v>
      </c>
      <c r="AY99" s="15">
        <v>775.19999999999993</v>
      </c>
      <c r="AZ99" s="15">
        <v>775.19999999999993</v>
      </c>
      <c r="BA99" s="15">
        <v>775.19999999999993</v>
      </c>
      <c r="BB99" s="15">
        <v>775.19999999999993</v>
      </c>
      <c r="BC99" s="15">
        <v>775.19999999999993</v>
      </c>
      <c r="BD99" s="15">
        <v>775.2</v>
      </c>
      <c r="BE99" s="9"/>
      <c r="BF99" s="16">
        <v>4</v>
      </c>
      <c r="BG99" s="22">
        <v>853.80000000000007</v>
      </c>
      <c r="BH99" s="19"/>
      <c r="BI99" s="14">
        <v>14</v>
      </c>
      <c r="BJ99" s="22">
        <v>853.80000000000007</v>
      </c>
      <c r="BK99" s="19"/>
      <c r="BL99" s="14">
        <v>24</v>
      </c>
      <c r="BM99" s="22">
        <v>853.80000000000007</v>
      </c>
      <c r="BO99" s="13" t="s">
        <v>36</v>
      </c>
      <c r="BP99" s="13" t="s">
        <v>63</v>
      </c>
      <c r="BQ99" s="15">
        <v>249</v>
      </c>
      <c r="BR99" s="15">
        <v>193.80000000000007</v>
      </c>
      <c r="BS99" s="15">
        <v>193.79999999999995</v>
      </c>
      <c r="BT99" s="15">
        <v>307.41662877494241</v>
      </c>
      <c r="BU99" s="15">
        <v>213.6954317664613</v>
      </c>
      <c r="BV99" s="15">
        <v>193.80000000000007</v>
      </c>
      <c r="BW99" s="15">
        <v>193.80000000000007</v>
      </c>
      <c r="BX99" s="15">
        <v>193.80000000000007</v>
      </c>
      <c r="BY99" s="15">
        <v>193.80000000000007</v>
      </c>
      <c r="BZ99" s="15">
        <v>193.80000000000007</v>
      </c>
      <c r="CA99" s="15">
        <v>73.800000000000068</v>
      </c>
      <c r="CB99" s="15">
        <v>193.80000000000007</v>
      </c>
      <c r="CC99" s="15">
        <v>193.80000000000007</v>
      </c>
      <c r="CD99" s="15">
        <v>193.80000000000007</v>
      </c>
      <c r="CE99" s="15">
        <v>193.80000000000007</v>
      </c>
      <c r="CF99" s="15">
        <v>193.80000000000007</v>
      </c>
      <c r="CG99" s="15">
        <v>193.80000000000007</v>
      </c>
      <c r="CH99" s="15">
        <v>193.79999999999995</v>
      </c>
      <c r="CI99" s="15">
        <v>193.80000000000007</v>
      </c>
      <c r="CJ99" s="15">
        <v>193.80000000000007</v>
      </c>
      <c r="CK99" s="15">
        <v>193.80000000000007</v>
      </c>
      <c r="CL99" s="15">
        <v>193.80000000000007</v>
      </c>
      <c r="CM99" s="15">
        <v>193.80000000000007</v>
      </c>
      <c r="CN99" s="15">
        <v>193.79999999999995</v>
      </c>
      <c r="CP99" s="13" t="s">
        <v>36</v>
      </c>
      <c r="CQ99" s="13" t="s">
        <v>63</v>
      </c>
      <c r="CR99" s="15">
        <v>193.8</v>
      </c>
      <c r="CS99" s="15">
        <v>193.80000000000007</v>
      </c>
      <c r="CT99" s="15">
        <v>193.80000000000007</v>
      </c>
      <c r="CU99" s="15">
        <v>193.8</v>
      </c>
      <c r="CV99" s="15">
        <v>189.45037406483792</v>
      </c>
      <c r="CW99" s="15">
        <v>193.80000000000007</v>
      </c>
      <c r="CX99" s="15">
        <v>193.80000000000007</v>
      </c>
      <c r="CY99" s="15">
        <v>193.80000000000007</v>
      </c>
      <c r="CZ99" s="15">
        <v>193.80000000000007</v>
      </c>
      <c r="DA99" s="15">
        <v>193.80000000000007</v>
      </c>
      <c r="DB99" s="15">
        <v>73.800000000000068</v>
      </c>
      <c r="DC99" s="15">
        <v>193.80000000000007</v>
      </c>
      <c r="DD99" s="15">
        <v>193.80000000000007</v>
      </c>
      <c r="DE99" s="15">
        <v>193.80000000000007</v>
      </c>
      <c r="DF99" s="15">
        <v>193.80000000000007</v>
      </c>
      <c r="DG99" s="15">
        <v>193.80000000000007</v>
      </c>
      <c r="DH99" s="15">
        <v>193.80000000000007</v>
      </c>
      <c r="DI99" s="15">
        <v>193.8</v>
      </c>
      <c r="DJ99" s="15">
        <v>193.80000000000007</v>
      </c>
      <c r="DK99" s="15">
        <v>193.80000000000007</v>
      </c>
      <c r="DL99" s="15">
        <v>193.80000000000007</v>
      </c>
      <c r="DM99" s="15">
        <v>193.80000000000007</v>
      </c>
      <c r="DN99" s="15">
        <v>193.80000000000007</v>
      </c>
      <c r="DO99" s="15">
        <v>193.8</v>
      </c>
    </row>
    <row r="100" spans="1:121" x14ac:dyDescent="0.35">
      <c r="A100" s="68" t="s">
        <v>3</v>
      </c>
      <c r="B100" s="69"/>
      <c r="C100" s="6">
        <v>0</v>
      </c>
      <c r="E100" s="13" t="s">
        <v>37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E100" s="13" t="s">
        <v>37</v>
      </c>
      <c r="AF100" s="13" t="s">
        <v>64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0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5">
        <v>0</v>
      </c>
      <c r="BD100" s="15">
        <v>0</v>
      </c>
      <c r="BE100" s="9"/>
      <c r="BF100" s="16">
        <v>5</v>
      </c>
      <c r="BG100" s="22">
        <v>853.80000000000007</v>
      </c>
      <c r="BH100" s="19"/>
      <c r="BI100" s="14">
        <v>15</v>
      </c>
      <c r="BJ100" s="22">
        <v>853.80000000000007</v>
      </c>
      <c r="BK100" s="20"/>
      <c r="BL100" s="20"/>
      <c r="BM100" s="20"/>
      <c r="BO100" s="13" t="s">
        <v>37</v>
      </c>
      <c r="BP100" s="13" t="s">
        <v>64</v>
      </c>
      <c r="BQ100" s="15">
        <v>0</v>
      </c>
      <c r="BR100" s="15">
        <v>0</v>
      </c>
      <c r="BS100" s="15">
        <v>0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0</v>
      </c>
      <c r="CA100" s="15">
        <v>0</v>
      </c>
      <c r="CB100" s="15">
        <v>0</v>
      </c>
      <c r="CC100" s="15">
        <v>0</v>
      </c>
      <c r="CD100" s="15">
        <v>0</v>
      </c>
      <c r="CE100" s="15">
        <v>0</v>
      </c>
      <c r="CF100" s="15">
        <v>0</v>
      </c>
      <c r="CG100" s="15">
        <v>0</v>
      </c>
      <c r="CH100" s="15">
        <v>0</v>
      </c>
      <c r="CI100" s="15">
        <v>0</v>
      </c>
      <c r="CJ100" s="15">
        <v>0</v>
      </c>
      <c r="CK100" s="15">
        <v>0</v>
      </c>
      <c r="CL100" s="15">
        <v>0</v>
      </c>
      <c r="CM100" s="15">
        <v>0</v>
      </c>
      <c r="CN100" s="15">
        <v>0</v>
      </c>
      <c r="CP100" s="13" t="s">
        <v>37</v>
      </c>
      <c r="CQ100" s="13" t="s">
        <v>64</v>
      </c>
      <c r="CR100" s="15">
        <v>0</v>
      </c>
      <c r="CS100" s="15">
        <v>0</v>
      </c>
      <c r="CT100" s="15">
        <v>0</v>
      </c>
      <c r="CU100" s="15">
        <v>0</v>
      </c>
      <c r="CV100" s="15">
        <v>0</v>
      </c>
      <c r="CW100" s="15">
        <v>0</v>
      </c>
      <c r="CX100" s="15">
        <v>0</v>
      </c>
      <c r="CY100" s="15">
        <v>0</v>
      </c>
      <c r="CZ100" s="15">
        <v>0</v>
      </c>
      <c r="DA100" s="15">
        <v>0</v>
      </c>
      <c r="DB100" s="15">
        <v>0</v>
      </c>
      <c r="DC100" s="15">
        <v>0</v>
      </c>
      <c r="DD100" s="15">
        <v>0</v>
      </c>
      <c r="DE100" s="15">
        <v>0</v>
      </c>
      <c r="DF100" s="15">
        <v>0</v>
      </c>
      <c r="DG100" s="15">
        <v>0</v>
      </c>
      <c r="DH100" s="15">
        <v>0</v>
      </c>
      <c r="DI100" s="15">
        <v>0</v>
      </c>
      <c r="DJ100" s="15">
        <v>0</v>
      </c>
      <c r="DK100" s="15">
        <v>0</v>
      </c>
      <c r="DL100" s="15">
        <v>0</v>
      </c>
      <c r="DM100" s="15">
        <v>0</v>
      </c>
      <c r="DN100" s="15">
        <v>0</v>
      </c>
      <c r="DO100" s="15">
        <v>0</v>
      </c>
    </row>
    <row r="101" spans="1:121" x14ac:dyDescent="0.35">
      <c r="A101" s="70" t="s">
        <v>4</v>
      </c>
      <c r="B101" s="71"/>
      <c r="C101" s="25">
        <f>SUM(C95:C100)</f>
        <v>4304661.7700000005</v>
      </c>
      <c r="E101" s="13" t="s">
        <v>38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E101" s="13" t="s">
        <v>38</v>
      </c>
      <c r="AF101" s="13" t="s">
        <v>65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5">
        <v>0</v>
      </c>
      <c r="AP101" s="15">
        <v>0</v>
      </c>
      <c r="AQ101" s="15">
        <v>0</v>
      </c>
      <c r="AR101" s="15">
        <v>0</v>
      </c>
      <c r="AS101" s="15">
        <v>0</v>
      </c>
      <c r="AT101" s="15">
        <v>0</v>
      </c>
      <c r="AU101" s="15">
        <v>0</v>
      </c>
      <c r="AV101" s="15">
        <v>0</v>
      </c>
      <c r="AW101" s="15">
        <v>0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9"/>
      <c r="BF101" s="16">
        <v>6</v>
      </c>
      <c r="BG101" s="22">
        <v>853.80000000000007</v>
      </c>
      <c r="BH101" s="19"/>
      <c r="BI101" s="14">
        <v>16</v>
      </c>
      <c r="BJ101" s="22">
        <v>853.80000000000007</v>
      </c>
      <c r="BK101" s="20"/>
      <c r="BL101" s="20"/>
      <c r="BM101" s="20"/>
      <c r="BO101" s="13" t="s">
        <v>38</v>
      </c>
      <c r="BP101" s="13" t="s">
        <v>65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5">
        <v>0</v>
      </c>
      <c r="CH101" s="15">
        <v>0</v>
      </c>
      <c r="CI101" s="15">
        <v>0</v>
      </c>
      <c r="CJ101" s="15">
        <v>0</v>
      </c>
      <c r="CK101" s="15">
        <v>0</v>
      </c>
      <c r="CL101" s="15">
        <v>0</v>
      </c>
      <c r="CM101" s="15">
        <v>0</v>
      </c>
      <c r="CN101" s="15">
        <v>0</v>
      </c>
      <c r="CP101" s="13" t="s">
        <v>38</v>
      </c>
      <c r="CQ101" s="13" t="s">
        <v>65</v>
      </c>
      <c r="CR101" s="15">
        <v>0</v>
      </c>
      <c r="CS101" s="15">
        <v>0</v>
      </c>
      <c r="CT101" s="15">
        <v>0</v>
      </c>
      <c r="CU101" s="15">
        <v>0</v>
      </c>
      <c r="CV101" s="15">
        <v>0</v>
      </c>
      <c r="CW101" s="15">
        <v>0</v>
      </c>
      <c r="CX101" s="15">
        <v>0</v>
      </c>
      <c r="CY101" s="15">
        <v>0</v>
      </c>
      <c r="CZ101" s="15">
        <v>0</v>
      </c>
      <c r="DA101" s="15">
        <v>0</v>
      </c>
      <c r="DB101" s="15">
        <v>0</v>
      </c>
      <c r="DC101" s="15">
        <v>0</v>
      </c>
      <c r="DD101" s="15">
        <v>0</v>
      </c>
      <c r="DE101" s="15">
        <v>0</v>
      </c>
      <c r="DF101" s="15">
        <v>0</v>
      </c>
      <c r="DG101" s="15">
        <v>0</v>
      </c>
      <c r="DH101" s="15">
        <v>0</v>
      </c>
      <c r="DI101" s="15">
        <v>0</v>
      </c>
      <c r="DJ101" s="15">
        <v>0</v>
      </c>
      <c r="DK101" s="15">
        <v>0</v>
      </c>
      <c r="DL101" s="15">
        <v>0</v>
      </c>
      <c r="DM101" s="15">
        <v>0</v>
      </c>
      <c r="DN101" s="15">
        <v>0</v>
      </c>
      <c r="DO101" s="15">
        <v>0</v>
      </c>
    </row>
    <row r="102" spans="1:121" x14ac:dyDescent="0.35">
      <c r="E102" s="13" t="s">
        <v>39</v>
      </c>
      <c r="F102" s="10">
        <v>1</v>
      </c>
      <c r="G102" s="10">
        <v>1</v>
      </c>
      <c r="H102" s="10">
        <v>1</v>
      </c>
      <c r="I102" s="10">
        <v>1</v>
      </c>
      <c r="J102" s="10">
        <v>1</v>
      </c>
      <c r="K102" s="10">
        <v>1</v>
      </c>
      <c r="L102" s="10">
        <v>1</v>
      </c>
      <c r="M102" s="10">
        <v>1</v>
      </c>
      <c r="N102" s="10">
        <v>1</v>
      </c>
      <c r="O102" s="10">
        <v>1</v>
      </c>
      <c r="P102" s="10">
        <v>1</v>
      </c>
      <c r="Q102" s="10">
        <v>1</v>
      </c>
      <c r="R102" s="10">
        <v>1</v>
      </c>
      <c r="S102" s="10">
        <v>1</v>
      </c>
      <c r="T102" s="10">
        <v>1</v>
      </c>
      <c r="U102" s="10">
        <v>1</v>
      </c>
      <c r="V102" s="10">
        <v>1</v>
      </c>
      <c r="W102" s="10">
        <v>1</v>
      </c>
      <c r="X102" s="10">
        <v>1</v>
      </c>
      <c r="Y102" s="10">
        <v>1</v>
      </c>
      <c r="Z102" s="10">
        <v>1</v>
      </c>
      <c r="AA102" s="10">
        <v>1</v>
      </c>
      <c r="AB102" s="10">
        <v>1</v>
      </c>
      <c r="AC102" s="10">
        <v>1</v>
      </c>
      <c r="AE102" s="13" t="s">
        <v>39</v>
      </c>
      <c r="AF102" s="13" t="s">
        <v>66</v>
      </c>
      <c r="AG102" s="15">
        <v>443.87683465873056</v>
      </c>
      <c r="AH102" s="15">
        <v>250</v>
      </c>
      <c r="AI102" s="15">
        <v>250</v>
      </c>
      <c r="AJ102" s="15">
        <v>250</v>
      </c>
      <c r="AK102" s="15">
        <v>250</v>
      </c>
      <c r="AL102" s="15">
        <v>338.52102258867205</v>
      </c>
      <c r="AM102" s="15">
        <v>400.0604107918233</v>
      </c>
      <c r="AN102" s="15">
        <v>351.69193735668614</v>
      </c>
      <c r="AO102" s="15">
        <v>473.38214763135966</v>
      </c>
      <c r="AP102" s="15">
        <v>488.99999999999989</v>
      </c>
      <c r="AQ102" s="15">
        <v>488.99999999999966</v>
      </c>
      <c r="AR102" s="15">
        <v>488.99999999999989</v>
      </c>
      <c r="AS102" s="15">
        <v>488.99999999999989</v>
      </c>
      <c r="AT102" s="15">
        <v>488.99999999999989</v>
      </c>
      <c r="AU102" s="15">
        <v>640.61575840366902</v>
      </c>
      <c r="AV102" s="15">
        <v>488.99999999999977</v>
      </c>
      <c r="AW102" s="15">
        <v>488.99999999999977</v>
      </c>
      <c r="AX102" s="15">
        <v>488.99999999999966</v>
      </c>
      <c r="AY102" s="15">
        <v>488.99999999999989</v>
      </c>
      <c r="AZ102" s="15">
        <v>488.99999999999989</v>
      </c>
      <c r="BA102" s="15">
        <v>488.99999999999989</v>
      </c>
      <c r="BB102" s="15">
        <v>488.99999999999966</v>
      </c>
      <c r="BC102" s="15">
        <v>488.99999999999977</v>
      </c>
      <c r="BD102" s="15">
        <v>250</v>
      </c>
      <c r="BE102" s="9"/>
      <c r="BF102" s="16">
        <v>7</v>
      </c>
      <c r="BG102" s="22">
        <v>853.80000000000007</v>
      </c>
      <c r="BH102" s="19"/>
      <c r="BI102" s="14">
        <v>17</v>
      </c>
      <c r="BJ102" s="22">
        <v>853.80000000000007</v>
      </c>
      <c r="BK102" s="20"/>
      <c r="BL102" s="20"/>
      <c r="BM102" s="20"/>
      <c r="BO102" s="13" t="s">
        <v>39</v>
      </c>
      <c r="BP102" s="13" t="s">
        <v>66</v>
      </c>
      <c r="BQ102" s="15">
        <v>651.12316534126944</v>
      </c>
      <c r="BR102" s="15">
        <v>845</v>
      </c>
      <c r="BS102" s="15">
        <v>845</v>
      </c>
      <c r="BT102" s="15">
        <v>845</v>
      </c>
      <c r="BU102" s="15">
        <v>845</v>
      </c>
      <c r="BV102" s="15">
        <v>756.47897741132795</v>
      </c>
      <c r="BW102" s="15">
        <v>694.9395892081767</v>
      </c>
      <c r="BX102" s="15">
        <v>743.30806264331386</v>
      </c>
      <c r="BY102" s="15">
        <v>621.61785236864034</v>
      </c>
      <c r="BZ102" s="15">
        <v>606.00000000000011</v>
      </c>
      <c r="CA102" s="15">
        <v>606.00000000000034</v>
      </c>
      <c r="CB102" s="15">
        <v>606.00000000000011</v>
      </c>
      <c r="CC102" s="15">
        <v>606.00000000000011</v>
      </c>
      <c r="CD102" s="15">
        <v>606.00000000000011</v>
      </c>
      <c r="CE102" s="15">
        <v>454.38424159633098</v>
      </c>
      <c r="CF102" s="15">
        <v>606.00000000000023</v>
      </c>
      <c r="CG102" s="15">
        <v>606.00000000000023</v>
      </c>
      <c r="CH102" s="15">
        <v>606.00000000000034</v>
      </c>
      <c r="CI102" s="15">
        <v>606.00000000000011</v>
      </c>
      <c r="CJ102" s="15">
        <v>606.00000000000011</v>
      </c>
      <c r="CK102" s="15">
        <v>606.00000000000011</v>
      </c>
      <c r="CL102" s="15">
        <v>606.00000000000034</v>
      </c>
      <c r="CM102" s="15">
        <v>606.00000000000023</v>
      </c>
      <c r="CN102" s="15">
        <v>845</v>
      </c>
      <c r="CP102" s="13" t="s">
        <v>39</v>
      </c>
      <c r="CQ102" s="13" t="s">
        <v>66</v>
      </c>
      <c r="CR102" s="15">
        <v>219</v>
      </c>
      <c r="CS102" s="15">
        <v>219</v>
      </c>
      <c r="CT102" s="15">
        <v>219.00000000000006</v>
      </c>
      <c r="CU102" s="15">
        <v>219</v>
      </c>
      <c r="CV102" s="15">
        <v>214.08478802992519</v>
      </c>
      <c r="CW102" s="15">
        <v>219.00000000000006</v>
      </c>
      <c r="CX102" s="15">
        <v>219.00000000000006</v>
      </c>
      <c r="CY102" s="15">
        <v>219.00000000000006</v>
      </c>
      <c r="CZ102" s="15">
        <v>219.00000000000006</v>
      </c>
      <c r="DA102" s="15">
        <v>219.00000000000006</v>
      </c>
      <c r="DB102" s="15">
        <v>219.00000000000006</v>
      </c>
      <c r="DC102" s="15">
        <v>219.00000000000006</v>
      </c>
      <c r="DD102" s="15">
        <v>219.00000000000006</v>
      </c>
      <c r="DE102" s="15">
        <v>219.00000000000006</v>
      </c>
      <c r="DF102" s="15">
        <v>219.00000000000006</v>
      </c>
      <c r="DG102" s="15">
        <v>219.00000000000006</v>
      </c>
      <c r="DH102" s="15">
        <v>219.00000000000006</v>
      </c>
      <c r="DI102" s="15">
        <v>219.00000000000006</v>
      </c>
      <c r="DJ102" s="15">
        <v>219.00000000000006</v>
      </c>
      <c r="DK102" s="15">
        <v>219.00000000000006</v>
      </c>
      <c r="DL102" s="15">
        <v>219.00000000000006</v>
      </c>
      <c r="DM102" s="15">
        <v>219.00000000000006</v>
      </c>
      <c r="DN102" s="15">
        <v>219.00000000000006</v>
      </c>
      <c r="DO102" s="15">
        <v>219.00000000000011</v>
      </c>
    </row>
    <row r="103" spans="1:121" x14ac:dyDescent="0.35">
      <c r="E103" s="13" t="s">
        <v>40</v>
      </c>
      <c r="F103" s="10">
        <v>1</v>
      </c>
      <c r="G103" s="10">
        <v>1</v>
      </c>
      <c r="H103" s="10">
        <v>1</v>
      </c>
      <c r="I103" s="10">
        <v>1</v>
      </c>
      <c r="J103" s="10">
        <v>1</v>
      </c>
      <c r="K103" s="10">
        <v>1</v>
      </c>
      <c r="L103" s="10">
        <v>1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>
        <v>1</v>
      </c>
      <c r="S103" s="10">
        <v>1</v>
      </c>
      <c r="T103" s="10">
        <v>1</v>
      </c>
      <c r="U103" s="10">
        <v>1</v>
      </c>
      <c r="V103" s="10">
        <v>1</v>
      </c>
      <c r="W103" s="10">
        <v>1</v>
      </c>
      <c r="X103" s="10">
        <v>1</v>
      </c>
      <c r="Y103" s="10">
        <v>1</v>
      </c>
      <c r="Z103" s="10">
        <v>1</v>
      </c>
      <c r="AA103" s="10">
        <v>1</v>
      </c>
      <c r="AB103" s="10">
        <v>1</v>
      </c>
      <c r="AC103" s="10">
        <v>1</v>
      </c>
      <c r="AE103" s="13" t="s">
        <v>40</v>
      </c>
      <c r="AF103" s="13" t="s">
        <v>67</v>
      </c>
      <c r="AG103" s="15">
        <v>248</v>
      </c>
      <c r="AH103" s="15">
        <v>248</v>
      </c>
      <c r="AI103" s="15">
        <v>248.00000000000011</v>
      </c>
      <c r="AJ103" s="15">
        <v>248</v>
      </c>
      <c r="AK103" s="15">
        <v>248</v>
      </c>
      <c r="AL103" s="15">
        <v>248</v>
      </c>
      <c r="AM103" s="15">
        <v>248</v>
      </c>
      <c r="AN103" s="15">
        <v>248</v>
      </c>
      <c r="AO103" s="15">
        <v>248</v>
      </c>
      <c r="AP103" s="15">
        <v>248</v>
      </c>
      <c r="AQ103" s="15">
        <v>348</v>
      </c>
      <c r="AR103" s="15">
        <v>648</v>
      </c>
      <c r="AS103" s="15">
        <v>348</v>
      </c>
      <c r="AT103" s="15">
        <v>348</v>
      </c>
      <c r="AU103" s="15">
        <v>648</v>
      </c>
      <c r="AV103" s="15">
        <v>648</v>
      </c>
      <c r="AW103" s="15">
        <v>648</v>
      </c>
      <c r="AX103" s="15">
        <v>348</v>
      </c>
      <c r="AY103" s="15">
        <v>648</v>
      </c>
      <c r="AZ103" s="15">
        <v>648</v>
      </c>
      <c r="BA103" s="15">
        <v>648</v>
      </c>
      <c r="BB103" s="15">
        <v>348</v>
      </c>
      <c r="BC103" s="15">
        <v>321.25650192711112</v>
      </c>
      <c r="BD103" s="15">
        <v>621.25650192711112</v>
      </c>
      <c r="BE103" s="9"/>
      <c r="BF103" s="16">
        <v>8</v>
      </c>
      <c r="BG103" s="22">
        <v>853.80000000000007</v>
      </c>
      <c r="BH103" s="19"/>
      <c r="BI103" s="14">
        <v>18</v>
      </c>
      <c r="BJ103" s="22">
        <v>853.80000000000007</v>
      </c>
      <c r="BK103" s="20"/>
      <c r="BL103" s="20"/>
      <c r="BM103" s="20"/>
      <c r="BO103" s="13" t="s">
        <v>40</v>
      </c>
      <c r="BP103" s="13" t="s">
        <v>67</v>
      </c>
      <c r="BQ103" s="15">
        <v>562</v>
      </c>
      <c r="BR103" s="15">
        <v>562</v>
      </c>
      <c r="BS103" s="15">
        <v>561.99999999999989</v>
      </c>
      <c r="BT103" s="15">
        <v>562</v>
      </c>
      <c r="BU103" s="15">
        <v>562</v>
      </c>
      <c r="BV103" s="15">
        <v>562</v>
      </c>
      <c r="BW103" s="15">
        <v>562</v>
      </c>
      <c r="BX103" s="15">
        <v>562</v>
      </c>
      <c r="BY103" s="15">
        <v>562</v>
      </c>
      <c r="BZ103" s="15">
        <v>562</v>
      </c>
      <c r="CA103" s="15">
        <v>462</v>
      </c>
      <c r="CB103" s="15">
        <v>162</v>
      </c>
      <c r="CC103" s="15">
        <v>462</v>
      </c>
      <c r="CD103" s="15">
        <v>462</v>
      </c>
      <c r="CE103" s="15">
        <v>162</v>
      </c>
      <c r="CF103" s="15">
        <v>162</v>
      </c>
      <c r="CG103" s="15">
        <v>162</v>
      </c>
      <c r="CH103" s="15">
        <v>462</v>
      </c>
      <c r="CI103" s="15">
        <v>162</v>
      </c>
      <c r="CJ103" s="15">
        <v>162</v>
      </c>
      <c r="CK103" s="15">
        <v>162</v>
      </c>
      <c r="CL103" s="15">
        <v>462</v>
      </c>
      <c r="CM103" s="15">
        <v>488.74349807288888</v>
      </c>
      <c r="CN103" s="15">
        <v>188.74349807288888</v>
      </c>
      <c r="CP103" s="13" t="s">
        <v>40</v>
      </c>
      <c r="CQ103" s="13" t="s">
        <v>67</v>
      </c>
      <c r="CR103" s="15">
        <v>162</v>
      </c>
      <c r="CS103" s="15">
        <v>162.00000000000003</v>
      </c>
      <c r="CT103" s="15">
        <v>162.00000000000003</v>
      </c>
      <c r="CU103" s="15">
        <v>162</v>
      </c>
      <c r="CV103" s="15">
        <v>158.3640897755611</v>
      </c>
      <c r="CW103" s="15">
        <v>162.00000000000006</v>
      </c>
      <c r="CX103" s="15">
        <v>162.00000000000006</v>
      </c>
      <c r="CY103" s="15">
        <v>162.00000000000006</v>
      </c>
      <c r="CZ103" s="15">
        <v>162.00000000000006</v>
      </c>
      <c r="DA103" s="15">
        <v>162.00000000000006</v>
      </c>
      <c r="DB103" s="15">
        <v>162.00000000000006</v>
      </c>
      <c r="DC103" s="15">
        <v>162.00000000000006</v>
      </c>
      <c r="DD103" s="15">
        <v>162.00000000000006</v>
      </c>
      <c r="DE103" s="15">
        <v>162.00000000000006</v>
      </c>
      <c r="DF103" s="15">
        <v>162.00000000000006</v>
      </c>
      <c r="DG103" s="15">
        <v>162.00000000000006</v>
      </c>
      <c r="DH103" s="15">
        <v>162.00000000000006</v>
      </c>
      <c r="DI103" s="15">
        <v>162.00000000000006</v>
      </c>
      <c r="DJ103" s="15">
        <v>162.00000000000006</v>
      </c>
      <c r="DK103" s="15">
        <v>162.00000000000006</v>
      </c>
      <c r="DL103" s="15">
        <v>162.00000000000006</v>
      </c>
      <c r="DM103" s="15">
        <v>162.00000000000006</v>
      </c>
      <c r="DN103" s="15">
        <v>162.00000000000006</v>
      </c>
      <c r="DO103" s="15">
        <v>162.00000000000006</v>
      </c>
    </row>
    <row r="104" spans="1:121" x14ac:dyDescent="0.35">
      <c r="E104" s="13" t="s">
        <v>41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E104" s="13" t="s">
        <v>41</v>
      </c>
      <c r="AF104" s="13" t="s">
        <v>68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</v>
      </c>
      <c r="AT104" s="15">
        <v>0</v>
      </c>
      <c r="AU104" s="15">
        <v>0</v>
      </c>
      <c r="AV104" s="15">
        <v>0</v>
      </c>
      <c r="AW104" s="15">
        <v>0</v>
      </c>
      <c r="AX104" s="15">
        <v>0</v>
      </c>
      <c r="AY104" s="15">
        <v>0</v>
      </c>
      <c r="AZ104" s="15">
        <v>0</v>
      </c>
      <c r="BA104" s="15">
        <v>0</v>
      </c>
      <c r="BB104" s="15">
        <v>0</v>
      </c>
      <c r="BC104" s="15">
        <v>0</v>
      </c>
      <c r="BD104" s="15">
        <v>0</v>
      </c>
      <c r="BE104" s="9"/>
      <c r="BF104" s="16">
        <v>9</v>
      </c>
      <c r="BG104" s="22">
        <v>853.80000000000007</v>
      </c>
      <c r="BH104" s="19"/>
      <c r="BI104" s="14">
        <v>19</v>
      </c>
      <c r="BJ104" s="22">
        <v>853.80000000000007</v>
      </c>
      <c r="BK104" s="20"/>
      <c r="BL104" s="20"/>
      <c r="BM104" s="20"/>
      <c r="BO104" s="13" t="s">
        <v>41</v>
      </c>
      <c r="BP104" s="13" t="s">
        <v>68</v>
      </c>
      <c r="BQ104" s="15">
        <v>0</v>
      </c>
      <c r="BR104" s="15">
        <v>0</v>
      </c>
      <c r="BS104" s="15">
        <v>0</v>
      </c>
      <c r="BT104" s="15">
        <v>0</v>
      </c>
      <c r="BU104" s="15">
        <v>0</v>
      </c>
      <c r="BV104" s="15">
        <v>0</v>
      </c>
      <c r="BW104" s="15">
        <v>0</v>
      </c>
      <c r="BX104" s="15">
        <v>0</v>
      </c>
      <c r="BY104" s="15">
        <v>0</v>
      </c>
      <c r="BZ104" s="15">
        <v>0</v>
      </c>
      <c r="CA104" s="15">
        <v>0</v>
      </c>
      <c r="CB104" s="15">
        <v>0</v>
      </c>
      <c r="CC104" s="15">
        <v>0</v>
      </c>
      <c r="CD104" s="15">
        <v>0</v>
      </c>
      <c r="CE104" s="15">
        <v>0</v>
      </c>
      <c r="CF104" s="15">
        <v>0</v>
      </c>
      <c r="CG104" s="15">
        <v>0</v>
      </c>
      <c r="CH104" s="15">
        <v>0</v>
      </c>
      <c r="CI104" s="15">
        <v>0</v>
      </c>
      <c r="CJ104" s="15">
        <v>0</v>
      </c>
      <c r="CK104" s="15">
        <v>0</v>
      </c>
      <c r="CL104" s="15">
        <v>0</v>
      </c>
      <c r="CM104" s="15">
        <v>0</v>
      </c>
      <c r="CN104" s="15">
        <v>0</v>
      </c>
      <c r="CP104" s="13" t="s">
        <v>41</v>
      </c>
      <c r="CQ104" s="13" t="s">
        <v>68</v>
      </c>
      <c r="CR104" s="15">
        <v>0</v>
      </c>
      <c r="CS104" s="15">
        <v>0</v>
      </c>
      <c r="CT104" s="15">
        <v>0</v>
      </c>
      <c r="CU104" s="15">
        <v>0</v>
      </c>
      <c r="CV104" s="15">
        <v>0</v>
      </c>
      <c r="CW104" s="15">
        <v>0</v>
      </c>
      <c r="CX104" s="15">
        <v>0</v>
      </c>
      <c r="CY104" s="15">
        <v>0</v>
      </c>
      <c r="CZ104" s="15">
        <v>0</v>
      </c>
      <c r="DA104" s="15">
        <v>0</v>
      </c>
      <c r="DB104" s="15">
        <v>0</v>
      </c>
      <c r="DC104" s="15">
        <v>0</v>
      </c>
      <c r="DD104" s="15">
        <v>0</v>
      </c>
      <c r="DE104" s="15">
        <v>0</v>
      </c>
      <c r="DF104" s="15">
        <v>0</v>
      </c>
      <c r="DG104" s="15">
        <v>0</v>
      </c>
      <c r="DH104" s="15">
        <v>0</v>
      </c>
      <c r="DI104" s="15">
        <v>0</v>
      </c>
      <c r="DJ104" s="15">
        <v>0</v>
      </c>
      <c r="DK104" s="15">
        <v>0</v>
      </c>
      <c r="DL104" s="15">
        <v>0</v>
      </c>
      <c r="DM104" s="15">
        <v>0</v>
      </c>
      <c r="DN104" s="15">
        <v>0</v>
      </c>
      <c r="DO104" s="15">
        <v>0</v>
      </c>
    </row>
    <row r="105" spans="1:121" x14ac:dyDescent="0.35">
      <c r="E105" s="13" t="s">
        <v>42</v>
      </c>
      <c r="F105" s="10">
        <v>1</v>
      </c>
      <c r="G105" s="10">
        <v>1</v>
      </c>
      <c r="H105" s="10">
        <v>1</v>
      </c>
      <c r="I105" s="10">
        <v>1</v>
      </c>
      <c r="J105" s="10">
        <v>1</v>
      </c>
      <c r="K105" s="10">
        <v>1</v>
      </c>
      <c r="L105" s="10">
        <v>1</v>
      </c>
      <c r="M105" s="10">
        <v>1</v>
      </c>
      <c r="N105" s="10">
        <v>1</v>
      </c>
      <c r="O105" s="10">
        <v>1</v>
      </c>
      <c r="P105" s="10">
        <v>1</v>
      </c>
      <c r="Q105" s="10">
        <v>1</v>
      </c>
      <c r="R105" s="10">
        <v>1</v>
      </c>
      <c r="S105" s="10">
        <v>1</v>
      </c>
      <c r="T105" s="10">
        <v>1</v>
      </c>
      <c r="U105" s="10">
        <v>1</v>
      </c>
      <c r="V105" s="10">
        <v>1</v>
      </c>
      <c r="W105" s="10">
        <v>1</v>
      </c>
      <c r="X105" s="10">
        <v>1</v>
      </c>
      <c r="Y105" s="10">
        <v>1</v>
      </c>
      <c r="Z105" s="10">
        <v>1</v>
      </c>
      <c r="AA105" s="10">
        <v>1</v>
      </c>
      <c r="AB105" s="10">
        <v>1</v>
      </c>
      <c r="AC105" s="10">
        <v>1</v>
      </c>
      <c r="AE105" s="13" t="s">
        <v>42</v>
      </c>
      <c r="AF105" s="13" t="s">
        <v>61</v>
      </c>
      <c r="AG105" s="15">
        <v>660</v>
      </c>
      <c r="AH105" s="15">
        <v>777.00000000000023</v>
      </c>
      <c r="AI105" s="15">
        <v>743.20178562716467</v>
      </c>
      <c r="AJ105" s="15">
        <v>750</v>
      </c>
      <c r="AK105" s="15">
        <v>870</v>
      </c>
      <c r="AL105" s="15">
        <v>870</v>
      </c>
      <c r="AM105" s="15">
        <v>750.00000000000011</v>
      </c>
      <c r="AN105" s="15">
        <v>696</v>
      </c>
      <c r="AO105" s="15">
        <v>696</v>
      </c>
      <c r="AP105" s="15">
        <v>696</v>
      </c>
      <c r="AQ105" s="15">
        <v>696</v>
      </c>
      <c r="AR105" s="15">
        <v>696</v>
      </c>
      <c r="AS105" s="15">
        <v>696</v>
      </c>
      <c r="AT105" s="15">
        <v>750</v>
      </c>
      <c r="AU105" s="15">
        <v>870</v>
      </c>
      <c r="AV105" s="15">
        <v>750.00000000000011</v>
      </c>
      <c r="AW105" s="15">
        <v>870</v>
      </c>
      <c r="AX105" s="15">
        <v>816</v>
      </c>
      <c r="AY105" s="15">
        <v>696</v>
      </c>
      <c r="AZ105" s="15">
        <v>696</v>
      </c>
      <c r="BA105" s="15">
        <v>696</v>
      </c>
      <c r="BB105" s="15">
        <v>750</v>
      </c>
      <c r="BC105" s="15">
        <v>870</v>
      </c>
      <c r="BD105" s="15">
        <v>870</v>
      </c>
      <c r="BE105" s="9"/>
      <c r="BF105" s="16">
        <v>10</v>
      </c>
      <c r="BG105" s="22">
        <v>853.80000000000007</v>
      </c>
      <c r="BH105" s="19"/>
      <c r="BI105" s="14">
        <v>20</v>
      </c>
      <c r="BJ105" s="22">
        <v>853.80000000000007</v>
      </c>
      <c r="BK105" s="20"/>
      <c r="BL105" s="20"/>
      <c r="BM105" s="20"/>
      <c r="BO105" s="13" t="s">
        <v>42</v>
      </c>
      <c r="BP105" s="13" t="s">
        <v>61</v>
      </c>
      <c r="BQ105" s="15">
        <v>210</v>
      </c>
      <c r="BR105" s="15">
        <v>92.999999999999773</v>
      </c>
      <c r="BS105" s="15">
        <v>126.79821437283533</v>
      </c>
      <c r="BT105" s="15">
        <v>120</v>
      </c>
      <c r="BU105" s="15">
        <v>0</v>
      </c>
      <c r="BV105" s="15">
        <v>0</v>
      </c>
      <c r="BW105" s="15">
        <v>119.99999999999989</v>
      </c>
      <c r="BX105" s="15">
        <v>174</v>
      </c>
      <c r="BY105" s="15">
        <v>174</v>
      </c>
      <c r="BZ105" s="15">
        <v>174</v>
      </c>
      <c r="CA105" s="15">
        <v>174</v>
      </c>
      <c r="CB105" s="15">
        <v>174</v>
      </c>
      <c r="CC105" s="15">
        <v>174</v>
      </c>
      <c r="CD105" s="15">
        <v>120</v>
      </c>
      <c r="CE105" s="15">
        <v>0</v>
      </c>
      <c r="CF105" s="15">
        <v>119.99999999999989</v>
      </c>
      <c r="CG105" s="15">
        <v>0</v>
      </c>
      <c r="CH105" s="15">
        <v>54</v>
      </c>
      <c r="CI105" s="15">
        <v>174</v>
      </c>
      <c r="CJ105" s="15">
        <v>174</v>
      </c>
      <c r="CK105" s="15">
        <v>174</v>
      </c>
      <c r="CL105" s="15">
        <v>120</v>
      </c>
      <c r="CM105" s="15">
        <v>0</v>
      </c>
      <c r="CN105" s="15">
        <v>0</v>
      </c>
      <c r="CP105" s="13" t="s">
        <v>42</v>
      </c>
      <c r="CQ105" s="13" t="s">
        <v>61</v>
      </c>
      <c r="CR105" s="15">
        <v>174</v>
      </c>
      <c r="CS105" s="15">
        <v>92.999999999999773</v>
      </c>
      <c r="CT105" s="15">
        <v>126.79821437283528</v>
      </c>
      <c r="CU105" s="15">
        <v>120</v>
      </c>
      <c r="CV105" s="15">
        <v>0</v>
      </c>
      <c r="CW105" s="15">
        <v>0</v>
      </c>
      <c r="CX105" s="15">
        <v>119.99999999999989</v>
      </c>
      <c r="CY105" s="15">
        <v>174.00000000000003</v>
      </c>
      <c r="CZ105" s="15">
        <v>174.00000000000003</v>
      </c>
      <c r="DA105" s="15">
        <v>174.00000000000003</v>
      </c>
      <c r="DB105" s="15">
        <v>174.00000000000003</v>
      </c>
      <c r="DC105" s="15">
        <v>174.00000000000003</v>
      </c>
      <c r="DD105" s="15">
        <v>174.00000000000003</v>
      </c>
      <c r="DE105" s="15">
        <v>120</v>
      </c>
      <c r="DF105" s="15">
        <v>0</v>
      </c>
      <c r="DG105" s="15">
        <v>119.99999999999989</v>
      </c>
      <c r="DH105" s="15">
        <v>0</v>
      </c>
      <c r="DI105" s="15">
        <v>54</v>
      </c>
      <c r="DJ105" s="15">
        <v>174.00000000000003</v>
      </c>
      <c r="DK105" s="15">
        <v>174.00000000000003</v>
      </c>
      <c r="DL105" s="15">
        <v>174.00000000000003</v>
      </c>
      <c r="DM105" s="15">
        <v>120.00000000000009</v>
      </c>
      <c r="DN105" s="15">
        <v>0</v>
      </c>
      <c r="DO105" s="15">
        <v>0</v>
      </c>
    </row>
    <row r="106" spans="1:121" x14ac:dyDescent="0.35">
      <c r="E106" s="13" t="s">
        <v>43</v>
      </c>
      <c r="F106" s="10">
        <v>1</v>
      </c>
      <c r="G106" s="10">
        <v>1</v>
      </c>
      <c r="H106" s="10">
        <v>1</v>
      </c>
      <c r="I106" s="10">
        <v>1</v>
      </c>
      <c r="J106" s="10">
        <v>1</v>
      </c>
      <c r="K106" s="10">
        <v>1</v>
      </c>
      <c r="L106" s="10">
        <v>1</v>
      </c>
      <c r="M106" s="10">
        <v>1</v>
      </c>
      <c r="N106" s="10">
        <v>1</v>
      </c>
      <c r="O106" s="10">
        <v>1</v>
      </c>
      <c r="P106" s="10">
        <v>1</v>
      </c>
      <c r="Q106" s="10">
        <v>1</v>
      </c>
      <c r="R106" s="10">
        <v>1</v>
      </c>
      <c r="S106" s="10">
        <v>1</v>
      </c>
      <c r="T106" s="10">
        <v>1</v>
      </c>
      <c r="U106" s="10">
        <v>1</v>
      </c>
      <c r="V106" s="10">
        <v>1</v>
      </c>
      <c r="W106" s="10">
        <v>1</v>
      </c>
      <c r="X106" s="10">
        <v>1</v>
      </c>
      <c r="Y106" s="10">
        <v>1</v>
      </c>
      <c r="Z106" s="10">
        <v>1</v>
      </c>
      <c r="AA106" s="10">
        <v>1</v>
      </c>
      <c r="AB106" s="10">
        <v>1</v>
      </c>
      <c r="AC106" s="10">
        <v>1</v>
      </c>
      <c r="AE106" s="13" t="s">
        <v>43</v>
      </c>
      <c r="AF106" s="13" t="s">
        <v>69</v>
      </c>
      <c r="AG106" s="15">
        <v>672</v>
      </c>
      <c r="AH106" s="15">
        <v>672</v>
      </c>
      <c r="AI106" s="15">
        <v>792</v>
      </c>
      <c r="AJ106" s="15">
        <v>699</v>
      </c>
      <c r="AK106" s="15">
        <v>599.99999999900001</v>
      </c>
      <c r="AL106" s="15">
        <v>672</v>
      </c>
      <c r="AM106" s="15">
        <v>672</v>
      </c>
      <c r="AN106" s="15">
        <v>672</v>
      </c>
      <c r="AO106" s="15">
        <v>672</v>
      </c>
      <c r="AP106" s="15">
        <v>672</v>
      </c>
      <c r="AQ106" s="15">
        <v>672</v>
      </c>
      <c r="AR106" s="15">
        <v>672</v>
      </c>
      <c r="AS106" s="15">
        <v>672</v>
      </c>
      <c r="AT106" s="15">
        <v>672</v>
      </c>
      <c r="AU106" s="15">
        <v>672</v>
      </c>
      <c r="AV106" s="15">
        <v>672</v>
      </c>
      <c r="AW106" s="15">
        <v>672</v>
      </c>
      <c r="AX106" s="15">
        <v>672</v>
      </c>
      <c r="AY106" s="15">
        <v>672</v>
      </c>
      <c r="AZ106" s="15">
        <v>672</v>
      </c>
      <c r="BA106" s="15">
        <v>672</v>
      </c>
      <c r="BB106" s="15">
        <v>672</v>
      </c>
      <c r="BC106" s="15">
        <v>672</v>
      </c>
      <c r="BD106" s="15">
        <v>672</v>
      </c>
      <c r="BE106" s="9"/>
      <c r="BF106" s="21"/>
      <c r="BH106" s="20"/>
      <c r="BI106" s="20"/>
      <c r="BK106" s="20"/>
      <c r="BL106" s="20"/>
      <c r="BM106" s="20"/>
      <c r="BO106" s="13" t="s">
        <v>43</v>
      </c>
      <c r="BP106" s="13" t="s">
        <v>69</v>
      </c>
      <c r="BQ106" s="15">
        <v>168</v>
      </c>
      <c r="BR106" s="15">
        <v>168</v>
      </c>
      <c r="BS106" s="15">
        <v>48</v>
      </c>
      <c r="BT106" s="15">
        <v>141</v>
      </c>
      <c r="BU106" s="15">
        <v>240.00000000099999</v>
      </c>
      <c r="BV106" s="15">
        <v>168</v>
      </c>
      <c r="BW106" s="15">
        <v>168</v>
      </c>
      <c r="BX106" s="15">
        <v>168</v>
      </c>
      <c r="BY106" s="15">
        <v>168</v>
      </c>
      <c r="BZ106" s="15">
        <v>168</v>
      </c>
      <c r="CA106" s="15">
        <v>168</v>
      </c>
      <c r="CB106" s="15">
        <v>168</v>
      </c>
      <c r="CC106" s="15">
        <v>168</v>
      </c>
      <c r="CD106" s="15">
        <v>168</v>
      </c>
      <c r="CE106" s="15">
        <v>168</v>
      </c>
      <c r="CF106" s="15">
        <v>168</v>
      </c>
      <c r="CG106" s="15">
        <v>168</v>
      </c>
      <c r="CH106" s="15">
        <v>168</v>
      </c>
      <c r="CI106" s="15">
        <v>168</v>
      </c>
      <c r="CJ106" s="15">
        <v>168</v>
      </c>
      <c r="CK106" s="15">
        <v>168</v>
      </c>
      <c r="CL106" s="15">
        <v>168</v>
      </c>
      <c r="CM106" s="15">
        <v>168</v>
      </c>
      <c r="CN106" s="15">
        <v>168</v>
      </c>
      <c r="CP106" s="13" t="s">
        <v>43</v>
      </c>
      <c r="CQ106" s="13" t="s">
        <v>69</v>
      </c>
      <c r="CR106" s="15">
        <v>168.00000000000003</v>
      </c>
      <c r="CS106" s="15">
        <v>168.00000000000003</v>
      </c>
      <c r="CT106" s="15">
        <v>47.999999999999979</v>
      </c>
      <c r="CU106" s="15">
        <v>140.99999999999994</v>
      </c>
      <c r="CV106" s="15">
        <v>164.22942643391522</v>
      </c>
      <c r="CW106" s="15">
        <v>168.00000000000003</v>
      </c>
      <c r="CX106" s="15">
        <v>168.00000000000003</v>
      </c>
      <c r="CY106" s="15">
        <v>168.00000000000003</v>
      </c>
      <c r="CZ106" s="15">
        <v>168.00000000000003</v>
      </c>
      <c r="DA106" s="15">
        <v>168.00000000000003</v>
      </c>
      <c r="DB106" s="15">
        <v>168.00000000000003</v>
      </c>
      <c r="DC106" s="15">
        <v>168.00000000000003</v>
      </c>
      <c r="DD106" s="15">
        <v>168.00000000000003</v>
      </c>
      <c r="DE106" s="15">
        <v>168.00000000000003</v>
      </c>
      <c r="DF106" s="15">
        <v>168.00000000000003</v>
      </c>
      <c r="DG106" s="15">
        <v>168.00000000000003</v>
      </c>
      <c r="DH106" s="15">
        <v>168.00000000000003</v>
      </c>
      <c r="DI106" s="15">
        <v>168.00000000000003</v>
      </c>
      <c r="DJ106" s="15">
        <v>168.00000000000003</v>
      </c>
      <c r="DK106" s="15">
        <v>168.00000000000003</v>
      </c>
      <c r="DL106" s="15">
        <v>168.00000000000003</v>
      </c>
      <c r="DM106" s="15">
        <v>168.00000000000003</v>
      </c>
      <c r="DN106" s="15">
        <v>168.00000000000003</v>
      </c>
      <c r="DO106" s="15">
        <v>168.00000000000003</v>
      </c>
    </row>
    <row r="107" spans="1:121" x14ac:dyDescent="0.35"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</row>
    <row r="109" spans="1:121" x14ac:dyDescent="0.35">
      <c r="A109" s="23" t="s">
        <v>126</v>
      </c>
      <c r="BE109" s="9"/>
    </row>
    <row r="110" spans="1:121" x14ac:dyDescent="0.35">
      <c r="A110" s="23" t="s">
        <v>125</v>
      </c>
      <c r="BE110" s="9"/>
    </row>
    <row r="111" spans="1:121" x14ac:dyDescent="0.35">
      <c r="BE111" s="9"/>
    </row>
    <row r="112" spans="1:121" x14ac:dyDescent="0.35">
      <c r="A112" t="s">
        <v>51</v>
      </c>
      <c r="E112" t="s">
        <v>33</v>
      </c>
      <c r="AE112" t="s">
        <v>130</v>
      </c>
      <c r="BE112" s="9"/>
      <c r="BF112" t="s">
        <v>48</v>
      </c>
      <c r="BO112" t="s">
        <v>148</v>
      </c>
      <c r="CP112" t="s">
        <v>47</v>
      </c>
      <c r="DQ112" t="s">
        <v>145</v>
      </c>
    </row>
    <row r="113" spans="1:145" x14ac:dyDescent="0.35">
      <c r="A113" s="72" t="s">
        <v>1</v>
      </c>
      <c r="B113" s="24" t="s">
        <v>5</v>
      </c>
      <c r="C113" s="48">
        <v>0</v>
      </c>
      <c r="E113" s="66" t="s">
        <v>44</v>
      </c>
      <c r="F113" s="66" t="s">
        <v>22</v>
      </c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E113" s="62" t="s">
        <v>44</v>
      </c>
      <c r="AF113" s="63"/>
      <c r="AG113" s="66" t="s">
        <v>22</v>
      </c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6"/>
      <c r="BB113" s="66"/>
      <c r="BC113" s="66"/>
      <c r="BD113" s="66"/>
      <c r="BE113" s="9"/>
      <c r="BF113" s="11" t="s">
        <v>22</v>
      </c>
      <c r="BG113" s="11" t="s">
        <v>49</v>
      </c>
      <c r="BH113" s="17"/>
      <c r="BI113" s="11" t="s">
        <v>22</v>
      </c>
      <c r="BJ113" s="11" t="s">
        <v>49</v>
      </c>
      <c r="BK113" s="17"/>
      <c r="BL113" s="11" t="s">
        <v>22</v>
      </c>
      <c r="BM113" s="11" t="s">
        <v>49</v>
      </c>
      <c r="BO113" s="62" t="s">
        <v>44</v>
      </c>
      <c r="BP113" s="63"/>
      <c r="BQ113" s="66" t="s">
        <v>22</v>
      </c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66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P113" s="62" t="s">
        <v>44</v>
      </c>
      <c r="CQ113" s="63"/>
      <c r="CR113" s="66" t="s">
        <v>22</v>
      </c>
      <c r="CS113" s="66"/>
      <c r="CT113" s="66"/>
      <c r="CU113" s="66"/>
      <c r="CV113" s="66"/>
      <c r="CW113" s="66"/>
      <c r="CX113" s="66"/>
      <c r="CY113" s="66"/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Q113" s="67" t="s">
        <v>146</v>
      </c>
      <c r="DR113" s="67" t="s">
        <v>22</v>
      </c>
      <c r="DS113" s="67"/>
      <c r="DT113" s="67"/>
      <c r="DU113" s="67"/>
      <c r="DV113" s="67"/>
      <c r="DW113" s="67"/>
      <c r="DX113" s="67"/>
      <c r="DY113" s="67"/>
      <c r="DZ113" s="67"/>
      <c r="EA113" s="67"/>
      <c r="EB113" s="67"/>
      <c r="EC113" s="67"/>
      <c r="ED113" s="67"/>
      <c r="EE113" s="67"/>
      <c r="EF113" s="67"/>
      <c r="EG113" s="67"/>
      <c r="EH113" s="67"/>
      <c r="EI113" s="67"/>
      <c r="EJ113" s="67"/>
      <c r="EK113" s="67"/>
      <c r="EL113" s="67"/>
      <c r="EM113" s="67"/>
      <c r="EN113" s="67"/>
      <c r="EO113" s="67"/>
    </row>
    <row r="114" spans="1:145" x14ac:dyDescent="0.35">
      <c r="A114" s="73"/>
      <c r="B114" s="24" t="s">
        <v>6</v>
      </c>
      <c r="C114" s="48">
        <v>3506627.95</v>
      </c>
      <c r="E114" s="66"/>
      <c r="F114" s="12">
        <v>1</v>
      </c>
      <c r="G114" s="12">
        <v>2</v>
      </c>
      <c r="H114" s="12">
        <v>3</v>
      </c>
      <c r="I114" s="12">
        <v>4</v>
      </c>
      <c r="J114" s="12">
        <v>5</v>
      </c>
      <c r="K114" s="12">
        <v>6</v>
      </c>
      <c r="L114" s="12">
        <v>7</v>
      </c>
      <c r="M114" s="12">
        <v>8</v>
      </c>
      <c r="N114" s="12">
        <v>9</v>
      </c>
      <c r="O114" s="12">
        <v>10</v>
      </c>
      <c r="P114" s="12">
        <v>11</v>
      </c>
      <c r="Q114" s="12">
        <v>12</v>
      </c>
      <c r="R114" s="12">
        <v>13</v>
      </c>
      <c r="S114" s="12">
        <v>14</v>
      </c>
      <c r="T114" s="12">
        <v>15</v>
      </c>
      <c r="U114" s="12">
        <v>16</v>
      </c>
      <c r="V114" s="12">
        <v>17</v>
      </c>
      <c r="W114" s="12">
        <v>18</v>
      </c>
      <c r="X114" s="12">
        <v>19</v>
      </c>
      <c r="Y114" s="12">
        <v>20</v>
      </c>
      <c r="Z114" s="12">
        <v>21</v>
      </c>
      <c r="AA114" s="12">
        <v>22</v>
      </c>
      <c r="AB114" s="12">
        <v>23</v>
      </c>
      <c r="AC114" s="12">
        <v>24</v>
      </c>
      <c r="AE114" s="64"/>
      <c r="AF114" s="65"/>
      <c r="AG114" s="14">
        <v>1</v>
      </c>
      <c r="AH114" s="14">
        <v>2</v>
      </c>
      <c r="AI114" s="14">
        <v>3</v>
      </c>
      <c r="AJ114" s="14">
        <v>4</v>
      </c>
      <c r="AK114" s="14">
        <v>5</v>
      </c>
      <c r="AL114" s="14">
        <v>6</v>
      </c>
      <c r="AM114" s="14">
        <v>7</v>
      </c>
      <c r="AN114" s="14">
        <v>8</v>
      </c>
      <c r="AO114" s="14">
        <v>9</v>
      </c>
      <c r="AP114" s="14">
        <v>10</v>
      </c>
      <c r="AQ114" s="14">
        <v>11</v>
      </c>
      <c r="AR114" s="14">
        <v>12</v>
      </c>
      <c r="AS114" s="14">
        <v>13</v>
      </c>
      <c r="AT114" s="14">
        <v>14</v>
      </c>
      <c r="AU114" s="14">
        <v>15</v>
      </c>
      <c r="AV114" s="14">
        <v>16</v>
      </c>
      <c r="AW114" s="14">
        <v>17</v>
      </c>
      <c r="AX114" s="14">
        <v>18</v>
      </c>
      <c r="AY114" s="14">
        <v>19</v>
      </c>
      <c r="AZ114" s="14">
        <v>20</v>
      </c>
      <c r="BA114" s="14">
        <v>21</v>
      </c>
      <c r="BB114" s="14">
        <v>22</v>
      </c>
      <c r="BC114" s="14">
        <v>23</v>
      </c>
      <c r="BD114" s="14">
        <v>24</v>
      </c>
      <c r="BE114" s="9"/>
      <c r="BF114" s="11">
        <v>1</v>
      </c>
      <c r="BG114" s="22">
        <v>708</v>
      </c>
      <c r="BH114" s="18"/>
      <c r="BI114" s="14">
        <v>11</v>
      </c>
      <c r="BJ114" s="22">
        <v>723.6</v>
      </c>
      <c r="BK114" s="18"/>
      <c r="BL114" s="14">
        <v>21</v>
      </c>
      <c r="BM114" s="22">
        <v>723.6</v>
      </c>
      <c r="BO114" s="64"/>
      <c r="BP114" s="65"/>
      <c r="BQ114" s="14">
        <v>1</v>
      </c>
      <c r="BR114" s="14">
        <v>2</v>
      </c>
      <c r="BS114" s="14">
        <v>3</v>
      </c>
      <c r="BT114" s="14">
        <v>4</v>
      </c>
      <c r="BU114" s="14">
        <v>5</v>
      </c>
      <c r="BV114" s="14">
        <v>6</v>
      </c>
      <c r="BW114" s="14">
        <v>7</v>
      </c>
      <c r="BX114" s="14">
        <v>8</v>
      </c>
      <c r="BY114" s="14">
        <v>9</v>
      </c>
      <c r="BZ114" s="14">
        <v>10</v>
      </c>
      <c r="CA114" s="14">
        <v>11</v>
      </c>
      <c r="CB114" s="14">
        <v>12</v>
      </c>
      <c r="CC114" s="14">
        <v>13</v>
      </c>
      <c r="CD114" s="14">
        <v>14</v>
      </c>
      <c r="CE114" s="14">
        <v>15</v>
      </c>
      <c r="CF114" s="14">
        <v>16</v>
      </c>
      <c r="CG114" s="14">
        <v>17</v>
      </c>
      <c r="CH114" s="14">
        <v>18</v>
      </c>
      <c r="CI114" s="14">
        <v>19</v>
      </c>
      <c r="CJ114" s="14">
        <v>20</v>
      </c>
      <c r="CK114" s="14">
        <v>21</v>
      </c>
      <c r="CL114" s="14">
        <v>22</v>
      </c>
      <c r="CM114" s="14">
        <v>23</v>
      </c>
      <c r="CN114" s="14">
        <v>24</v>
      </c>
      <c r="CP114" s="64"/>
      <c r="CQ114" s="65"/>
      <c r="CR114" s="14">
        <v>1</v>
      </c>
      <c r="CS114" s="14">
        <v>2</v>
      </c>
      <c r="CT114" s="14">
        <v>3</v>
      </c>
      <c r="CU114" s="14">
        <v>4</v>
      </c>
      <c r="CV114" s="14">
        <v>5</v>
      </c>
      <c r="CW114" s="14">
        <v>6</v>
      </c>
      <c r="CX114" s="14">
        <v>7</v>
      </c>
      <c r="CY114" s="14">
        <v>8</v>
      </c>
      <c r="CZ114" s="14">
        <v>9</v>
      </c>
      <c r="DA114" s="14">
        <v>10</v>
      </c>
      <c r="DB114" s="14">
        <v>11</v>
      </c>
      <c r="DC114" s="14">
        <v>12</v>
      </c>
      <c r="DD114" s="14">
        <v>13</v>
      </c>
      <c r="DE114" s="14">
        <v>14</v>
      </c>
      <c r="DF114" s="14">
        <v>15</v>
      </c>
      <c r="DG114" s="14">
        <v>16</v>
      </c>
      <c r="DH114" s="14">
        <v>17</v>
      </c>
      <c r="DI114" s="14">
        <v>18</v>
      </c>
      <c r="DJ114" s="14">
        <v>19</v>
      </c>
      <c r="DK114" s="14">
        <v>20</v>
      </c>
      <c r="DL114" s="14">
        <v>21</v>
      </c>
      <c r="DM114" s="14">
        <v>22</v>
      </c>
      <c r="DN114" s="14">
        <v>23</v>
      </c>
      <c r="DO114" s="14">
        <v>24</v>
      </c>
      <c r="DQ114" s="67"/>
      <c r="DR114" s="16">
        <v>1</v>
      </c>
      <c r="DS114" s="16">
        <v>2</v>
      </c>
      <c r="DT114" s="16">
        <v>3</v>
      </c>
      <c r="DU114" s="16">
        <v>4</v>
      </c>
      <c r="DV114" s="16">
        <v>5</v>
      </c>
      <c r="DW114" s="16">
        <v>6</v>
      </c>
      <c r="DX114" s="16">
        <v>7</v>
      </c>
      <c r="DY114" s="16">
        <v>8</v>
      </c>
      <c r="DZ114" s="16">
        <v>9</v>
      </c>
      <c r="EA114" s="16">
        <v>10</v>
      </c>
      <c r="EB114" s="16">
        <v>11</v>
      </c>
      <c r="EC114" s="16">
        <v>12</v>
      </c>
      <c r="ED114" s="16">
        <v>13</v>
      </c>
      <c r="EE114" s="16">
        <v>14</v>
      </c>
      <c r="EF114" s="16">
        <v>15</v>
      </c>
      <c r="EG114" s="16">
        <v>16</v>
      </c>
      <c r="EH114" s="16">
        <v>17</v>
      </c>
      <c r="EI114" s="16">
        <v>18</v>
      </c>
      <c r="EJ114" s="16">
        <v>19</v>
      </c>
      <c r="EK114" s="16">
        <v>20</v>
      </c>
      <c r="EL114" s="16">
        <v>21</v>
      </c>
      <c r="EM114" s="16">
        <v>22</v>
      </c>
      <c r="EN114" s="16">
        <v>23</v>
      </c>
      <c r="EO114" s="16">
        <v>24</v>
      </c>
    </row>
    <row r="115" spans="1:145" x14ac:dyDescent="0.35">
      <c r="A115" s="73"/>
      <c r="B115" s="24" t="s">
        <v>7</v>
      </c>
      <c r="C115" s="48">
        <v>507544.53</v>
      </c>
      <c r="E115" s="13" t="s">
        <v>34</v>
      </c>
      <c r="F115" s="10">
        <v>1</v>
      </c>
      <c r="G115" s="10">
        <v>1</v>
      </c>
      <c r="H115" s="10">
        <v>1</v>
      </c>
      <c r="I115" s="10">
        <v>1</v>
      </c>
      <c r="J115" s="10">
        <v>1</v>
      </c>
      <c r="K115" s="10">
        <v>1</v>
      </c>
      <c r="L115" s="10">
        <v>1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1</v>
      </c>
      <c r="S115" s="10">
        <v>1</v>
      </c>
      <c r="T115" s="10">
        <v>1</v>
      </c>
      <c r="U115" s="10">
        <v>1</v>
      </c>
      <c r="V115" s="10">
        <v>1</v>
      </c>
      <c r="W115" s="10">
        <v>1</v>
      </c>
      <c r="X115" s="10">
        <v>1</v>
      </c>
      <c r="Y115" s="10">
        <v>1</v>
      </c>
      <c r="Z115" s="10">
        <v>1</v>
      </c>
      <c r="AA115" s="10">
        <v>1</v>
      </c>
      <c r="AB115" s="10">
        <v>1</v>
      </c>
      <c r="AC115" s="10">
        <v>1</v>
      </c>
      <c r="AE115" s="13" t="s">
        <v>34</v>
      </c>
      <c r="AF115" s="13" t="s">
        <v>60</v>
      </c>
      <c r="AG115" s="15">
        <v>1176</v>
      </c>
      <c r="AH115" s="15">
        <v>1176</v>
      </c>
      <c r="AI115" s="15">
        <v>1176</v>
      </c>
      <c r="AJ115" s="15">
        <v>1176</v>
      </c>
      <c r="AK115" s="15">
        <v>1176</v>
      </c>
      <c r="AL115" s="15">
        <v>1056</v>
      </c>
      <c r="AM115" s="15">
        <v>1044.2621964189884</v>
      </c>
      <c r="AN115" s="15">
        <v>1155.6919373566861</v>
      </c>
      <c r="AO115" s="15">
        <v>1176</v>
      </c>
      <c r="AP115" s="15">
        <v>1176</v>
      </c>
      <c r="AQ115" s="15">
        <v>1176</v>
      </c>
      <c r="AR115" s="15">
        <v>1176</v>
      </c>
      <c r="AS115" s="15">
        <v>1176</v>
      </c>
      <c r="AT115" s="15">
        <v>1176</v>
      </c>
      <c r="AU115" s="15">
        <v>1176</v>
      </c>
      <c r="AV115" s="15">
        <v>1176</v>
      </c>
      <c r="AW115" s="15">
        <v>1176</v>
      </c>
      <c r="AX115" s="15">
        <v>1176</v>
      </c>
      <c r="AY115" s="15">
        <v>1176</v>
      </c>
      <c r="AZ115" s="15">
        <v>1176</v>
      </c>
      <c r="BA115" s="15">
        <v>1176</v>
      </c>
      <c r="BB115" s="15">
        <v>1176</v>
      </c>
      <c r="BC115" s="15">
        <v>1176</v>
      </c>
      <c r="BD115" s="15">
        <v>1176</v>
      </c>
      <c r="BE115" s="9"/>
      <c r="BF115" s="16">
        <v>2</v>
      </c>
      <c r="BG115" s="22">
        <v>708</v>
      </c>
      <c r="BH115" s="19"/>
      <c r="BI115" s="14">
        <v>12</v>
      </c>
      <c r="BJ115" s="22">
        <v>723.6</v>
      </c>
      <c r="BK115" s="19"/>
      <c r="BL115" s="14">
        <v>22</v>
      </c>
      <c r="BM115" s="22">
        <v>723.6</v>
      </c>
      <c r="BO115" s="13" t="s">
        <v>34</v>
      </c>
      <c r="BP115" s="13" t="s">
        <v>60</v>
      </c>
      <c r="BQ115" s="15">
        <f>IF(F115=1,Gen!$D3-Sheet1!AG115,0)</f>
        <v>0</v>
      </c>
      <c r="BR115" s="15">
        <f>IF(G115=1,Gen!$D3-Sheet1!AH115,0)</f>
        <v>0</v>
      </c>
      <c r="BS115" s="15">
        <f>IF(H115=1,Gen!$D3-Sheet1!AI115,0)</f>
        <v>0</v>
      </c>
      <c r="BT115" s="15">
        <f>IF(I115=1,Gen!$D3-Sheet1!AJ115,0)</f>
        <v>0</v>
      </c>
      <c r="BU115" s="15">
        <f>IF(J115=1,Gen!$D3-Sheet1!AK115,0)</f>
        <v>0</v>
      </c>
      <c r="BV115" s="15">
        <f>IF(K115=1,Gen!$D3-Sheet1!AL115,0)</f>
        <v>120</v>
      </c>
      <c r="BW115" s="15">
        <f>IF(L115=1,Gen!$D3-Sheet1!AM115,0)</f>
        <v>131.73780358101158</v>
      </c>
      <c r="BX115" s="15">
        <f>IF(M115=1,Gen!$D3-Sheet1!AN115,0)</f>
        <v>20.30806264331386</v>
      </c>
      <c r="BY115" s="15">
        <f>IF(N115=1,Gen!$D3-Sheet1!AO115,0)</f>
        <v>0</v>
      </c>
      <c r="BZ115" s="15">
        <f>IF(O115=1,Gen!$D3-Sheet1!AP115,0)</f>
        <v>0</v>
      </c>
      <c r="CA115" s="15">
        <f>IF(P115=1,Gen!$D3-Sheet1!AQ115,0)</f>
        <v>0</v>
      </c>
      <c r="CB115" s="15">
        <f>IF(Q115=1,Gen!$D3-Sheet1!AR115,0)</f>
        <v>0</v>
      </c>
      <c r="CC115" s="15">
        <f>IF(R115=1,Gen!$D3-Sheet1!AS115,0)</f>
        <v>0</v>
      </c>
      <c r="CD115" s="15">
        <f>IF(S115=1,Gen!$D3-Sheet1!AT115,0)</f>
        <v>0</v>
      </c>
      <c r="CE115" s="15">
        <f>IF(T115=1,Gen!$D3-Sheet1!AU115,0)</f>
        <v>0</v>
      </c>
      <c r="CF115" s="15">
        <f>IF(U115=1,Gen!$D3-Sheet1!AV115,0)</f>
        <v>0</v>
      </c>
      <c r="CG115" s="15">
        <f>IF(V115=1,Gen!$D3-Sheet1!AW115,0)</f>
        <v>0</v>
      </c>
      <c r="CH115" s="15">
        <f>IF(W115=1,Gen!$D3-Sheet1!AX115,0)</f>
        <v>0</v>
      </c>
      <c r="CI115" s="15">
        <f>IF(X115=1,Gen!$D3-Sheet1!AY115,0)</f>
        <v>0</v>
      </c>
      <c r="CJ115" s="15">
        <f>IF(Y115=1,Gen!$D3-Sheet1!AZ115,0)</f>
        <v>0</v>
      </c>
      <c r="CK115" s="15">
        <f>IF(Z115=1,Gen!$D3-Sheet1!BA115,0)</f>
        <v>0</v>
      </c>
      <c r="CL115" s="15">
        <f>IF(AA115=1,Gen!$D3-Sheet1!BB115,0)</f>
        <v>0</v>
      </c>
      <c r="CM115" s="15">
        <f>IF(AB115=1,Gen!$D3-Sheet1!BC115,0)</f>
        <v>0</v>
      </c>
      <c r="CN115" s="15">
        <f>IF(AC115=1,Gen!$D3-Sheet1!BD115,0)</f>
        <v>0</v>
      </c>
      <c r="CP115" s="13" t="s">
        <v>34</v>
      </c>
      <c r="CQ115" s="13" t="s">
        <v>60</v>
      </c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Q115" s="35" t="s">
        <v>127</v>
      </c>
      <c r="DR115" s="56">
        <f>SUM(AG115:AG124)-AG$139</f>
        <v>-20.5</v>
      </c>
      <c r="DS115" s="56">
        <f t="shared" ref="DS115:EO115" si="0">SUM(AH115:AH124)-AH$139</f>
        <v>0</v>
      </c>
      <c r="DT115" s="56">
        <f t="shared" si="0"/>
        <v>24.798214372834991</v>
      </c>
      <c r="DU115" s="56">
        <f t="shared" si="0"/>
        <v>80</v>
      </c>
      <c r="DV115" s="56">
        <f t="shared" si="0"/>
        <v>80</v>
      </c>
      <c r="DW115" s="56">
        <f t="shared" si="0"/>
        <v>0</v>
      </c>
      <c r="DX115" s="56">
        <f t="shared" si="0"/>
        <v>-79.798214372834991</v>
      </c>
      <c r="DY115" s="56">
        <f t="shared" si="0"/>
        <v>80</v>
      </c>
      <c r="DZ115" s="56">
        <f t="shared" si="0"/>
        <v>0</v>
      </c>
      <c r="EA115" s="56">
        <f t="shared" si="0"/>
        <v>0</v>
      </c>
      <c r="EB115" s="56">
        <f t="shared" si="0"/>
        <v>-51.884246475093278</v>
      </c>
      <c r="EC115" s="56">
        <f t="shared" si="0"/>
        <v>-48.115753524906722</v>
      </c>
      <c r="ED115" s="56">
        <f t="shared" si="0"/>
        <v>20</v>
      </c>
      <c r="EE115" s="56">
        <f t="shared" si="0"/>
        <v>60</v>
      </c>
      <c r="EF115" s="56">
        <f t="shared" si="0"/>
        <v>-80</v>
      </c>
      <c r="EG115" s="56">
        <f t="shared" si="0"/>
        <v>-33.589143777138815</v>
      </c>
      <c r="EH115" s="56">
        <f t="shared" si="0"/>
        <v>-16.448801287993774</v>
      </c>
      <c r="EI115" s="56">
        <f t="shared" si="0"/>
        <v>70.03794506513259</v>
      </c>
      <c r="EJ115" s="56">
        <f t="shared" si="0"/>
        <v>80</v>
      </c>
      <c r="EK115" s="56">
        <f t="shared" si="0"/>
        <v>0</v>
      </c>
      <c r="EL115" s="56">
        <f t="shared" si="0"/>
        <v>-80</v>
      </c>
      <c r="EM115" s="56">
        <f t="shared" si="0"/>
        <v>-80</v>
      </c>
      <c r="EN115" s="56">
        <f t="shared" si="0"/>
        <v>-25</v>
      </c>
      <c r="EO115" s="56">
        <f t="shared" si="0"/>
        <v>20.5</v>
      </c>
    </row>
    <row r="116" spans="1:145" x14ac:dyDescent="0.35">
      <c r="A116" s="74"/>
      <c r="B116" s="24" t="s">
        <v>8</v>
      </c>
      <c r="C116" s="48">
        <v>0</v>
      </c>
      <c r="E116" s="13" t="s">
        <v>35</v>
      </c>
      <c r="F116" s="10">
        <v>1</v>
      </c>
      <c r="G116" s="10">
        <v>1</v>
      </c>
      <c r="H116" s="10">
        <v>1</v>
      </c>
      <c r="I116" s="10">
        <v>1</v>
      </c>
      <c r="J116" s="10">
        <v>1</v>
      </c>
      <c r="K116" s="10">
        <v>1</v>
      </c>
      <c r="L116" s="10">
        <v>1</v>
      </c>
      <c r="M116" s="10">
        <v>1</v>
      </c>
      <c r="N116" s="10">
        <v>1</v>
      </c>
      <c r="O116" s="10">
        <v>1</v>
      </c>
      <c r="P116" s="10">
        <v>1</v>
      </c>
      <c r="Q116" s="10">
        <v>1</v>
      </c>
      <c r="R116" s="10">
        <v>1</v>
      </c>
      <c r="S116" s="10">
        <v>1</v>
      </c>
      <c r="T116" s="10">
        <v>1</v>
      </c>
      <c r="U116" s="10">
        <v>1</v>
      </c>
      <c r="V116" s="10">
        <v>1</v>
      </c>
      <c r="W116" s="10">
        <v>1</v>
      </c>
      <c r="X116" s="10">
        <v>1</v>
      </c>
      <c r="Y116" s="10">
        <v>1</v>
      </c>
      <c r="Z116" s="10">
        <v>1</v>
      </c>
      <c r="AA116" s="10">
        <v>1</v>
      </c>
      <c r="AB116" s="10">
        <v>1</v>
      </c>
      <c r="AC116" s="10">
        <v>1</v>
      </c>
      <c r="AE116" s="13" t="s">
        <v>35</v>
      </c>
      <c r="AF116" s="13" t="s">
        <v>62</v>
      </c>
      <c r="AG116" s="15">
        <v>528</v>
      </c>
      <c r="AH116" s="15">
        <v>340</v>
      </c>
      <c r="AI116" s="15">
        <v>340</v>
      </c>
      <c r="AJ116" s="15">
        <v>340</v>
      </c>
      <c r="AK116" s="15">
        <v>340</v>
      </c>
      <c r="AL116" s="15">
        <v>340</v>
      </c>
      <c r="AM116" s="15">
        <v>340</v>
      </c>
      <c r="AN116" s="15">
        <v>340</v>
      </c>
      <c r="AO116" s="15">
        <v>426.45406059423294</v>
      </c>
      <c r="AP116" s="15">
        <v>442.07191296287328</v>
      </c>
      <c r="AQ116" s="15">
        <v>739.10031321656879</v>
      </c>
      <c r="AR116" s="15">
        <v>794</v>
      </c>
      <c r="AS116" s="15">
        <v>494</v>
      </c>
      <c r="AT116" s="15">
        <v>794</v>
      </c>
      <c r="AU116" s="15">
        <v>505.61575840366913</v>
      </c>
      <c r="AV116" s="15">
        <v>640</v>
      </c>
      <c r="AW116" s="15">
        <v>340</v>
      </c>
      <c r="AX116" s="15">
        <v>340</v>
      </c>
      <c r="AY116" s="15">
        <v>635.6775098794933</v>
      </c>
      <c r="AZ116" s="15">
        <v>576.40000000000055</v>
      </c>
      <c r="BA116" s="15">
        <v>810.68454505537466</v>
      </c>
      <c r="BB116" s="15">
        <v>704.29894325998976</v>
      </c>
      <c r="BC116" s="15">
        <v>404.29894325998976</v>
      </c>
      <c r="BD116" s="15">
        <v>411.75650192711146</v>
      </c>
      <c r="BE116" s="9"/>
      <c r="BF116" s="16">
        <v>3</v>
      </c>
      <c r="BG116" s="22">
        <v>708</v>
      </c>
      <c r="BH116" s="19"/>
      <c r="BI116" s="14">
        <v>13</v>
      </c>
      <c r="BJ116" s="22">
        <v>723.6</v>
      </c>
      <c r="BK116" s="19"/>
      <c r="BL116" s="14">
        <v>23</v>
      </c>
      <c r="BM116" s="22">
        <v>708</v>
      </c>
      <c r="BO116" s="13" t="s">
        <v>35</v>
      </c>
      <c r="BP116" s="13" t="s">
        <v>62</v>
      </c>
      <c r="BQ116" s="15">
        <f>IF(F116=1,Gen!$D4-Sheet1!AG116,0)</f>
        <v>597</v>
      </c>
      <c r="BR116" s="15">
        <f>IF(G116=1,Gen!$D4-Sheet1!AH116,0)</f>
        <v>785</v>
      </c>
      <c r="BS116" s="15">
        <f>IF(H116=1,Gen!$D4-Sheet1!AI116,0)</f>
        <v>785</v>
      </c>
      <c r="BT116" s="15">
        <f>IF(I116=1,Gen!$D4-Sheet1!AJ116,0)</f>
        <v>785</v>
      </c>
      <c r="BU116" s="15">
        <f>IF(J116=1,Gen!$D4-Sheet1!AK116,0)</f>
        <v>785</v>
      </c>
      <c r="BV116" s="15">
        <f>IF(K116=1,Gen!$D4-Sheet1!AL116,0)</f>
        <v>785</v>
      </c>
      <c r="BW116" s="15">
        <f>IF(L116=1,Gen!$D4-Sheet1!AM116,0)</f>
        <v>785</v>
      </c>
      <c r="BX116" s="15">
        <f>IF(M116=1,Gen!$D4-Sheet1!AN116,0)</f>
        <v>785</v>
      </c>
      <c r="BY116" s="15">
        <f>IF(N116=1,Gen!$D4-Sheet1!AO116,0)</f>
        <v>698.54593940576706</v>
      </c>
      <c r="BZ116" s="15">
        <f>IF(O116=1,Gen!$D4-Sheet1!AP116,0)</f>
        <v>682.92808703712672</v>
      </c>
      <c r="CA116" s="15">
        <f>IF(P116=1,Gen!$D4-Sheet1!AQ116,0)</f>
        <v>385.89968678343121</v>
      </c>
      <c r="CB116" s="15">
        <f>IF(Q116=1,Gen!$D4-Sheet1!AR116,0)</f>
        <v>331</v>
      </c>
      <c r="CC116" s="15">
        <f>IF(R116=1,Gen!$D4-Sheet1!AS116,0)</f>
        <v>631</v>
      </c>
      <c r="CD116" s="15">
        <f>IF(S116=1,Gen!$D4-Sheet1!AT116,0)</f>
        <v>331</v>
      </c>
      <c r="CE116" s="15">
        <f>IF(T116=1,Gen!$D4-Sheet1!AU116,0)</f>
        <v>619.38424159633087</v>
      </c>
      <c r="CF116" s="15">
        <f>IF(U116=1,Gen!$D4-Sheet1!AV116,0)</f>
        <v>485</v>
      </c>
      <c r="CG116" s="15">
        <f>IF(V116=1,Gen!$D4-Sheet1!AW116,0)</f>
        <v>785</v>
      </c>
      <c r="CH116" s="15">
        <f>IF(W116=1,Gen!$D4-Sheet1!AX116,0)</f>
        <v>785</v>
      </c>
      <c r="CI116" s="15">
        <f>IF(X116=1,Gen!$D4-Sheet1!AY116,0)</f>
        <v>489.3224901205067</v>
      </c>
      <c r="CJ116" s="15">
        <f>IF(Y116=1,Gen!$D4-Sheet1!AZ116,0)</f>
        <v>548.59999999999945</v>
      </c>
      <c r="CK116" s="15">
        <f>IF(Z116=1,Gen!$D4-Sheet1!BA116,0)</f>
        <v>314.31545494462534</v>
      </c>
      <c r="CL116" s="15">
        <f>IF(AA116=1,Gen!$D4-Sheet1!BB116,0)</f>
        <v>420.70105674001024</v>
      </c>
      <c r="CM116" s="15">
        <f>IF(AB116=1,Gen!$D4-Sheet1!BC116,0)</f>
        <v>720.70105674001024</v>
      </c>
      <c r="CN116" s="15">
        <f>IF(AC116=1,Gen!$D4-Sheet1!BD116,0)</f>
        <v>713.24349807288854</v>
      </c>
      <c r="CP116" s="13" t="s">
        <v>35</v>
      </c>
      <c r="CQ116" s="13" t="s">
        <v>62</v>
      </c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Q116" s="35" t="s">
        <v>144</v>
      </c>
      <c r="DR116" s="56">
        <f>SUM(AG128:AG137)-AG$139</f>
        <v>-20.496834658730222</v>
      </c>
      <c r="DS116" s="56">
        <f t="shared" ref="DS116:EO116" si="1">SUM(AH128:AH137)-AH$139</f>
        <v>1.5460799131687963E-3</v>
      </c>
      <c r="DT116" s="56">
        <f t="shared" si="1"/>
        <v>-1.7856271651908173E-3</v>
      </c>
      <c r="DU116" s="56">
        <f t="shared" si="1"/>
        <v>19.996628774942565</v>
      </c>
      <c r="DV116" s="56">
        <f t="shared" si="1"/>
        <v>-3.3712250574353675E-3</v>
      </c>
      <c r="DW116" s="56">
        <f t="shared" si="1"/>
        <v>24.998977411328269</v>
      </c>
      <c r="DX116" s="56">
        <f t="shared" si="1"/>
        <v>59.999589208176076</v>
      </c>
      <c r="DY116" s="56">
        <f t="shared" si="1"/>
        <v>79.99806264331437</v>
      </c>
      <c r="DZ116" s="56">
        <f t="shared" si="1"/>
        <v>5.9394057670942857E-3</v>
      </c>
      <c r="EA116" s="56">
        <f t="shared" si="1"/>
        <v>-1.9129628735754522E-3</v>
      </c>
      <c r="EB116" s="56">
        <f t="shared" si="1"/>
        <v>-20.004559691662507</v>
      </c>
      <c r="EC116" s="56">
        <f t="shared" si="1"/>
        <v>-59.995753524906831</v>
      </c>
      <c r="ED116" s="56">
        <f t="shared" si="1"/>
        <v>79.995411035761208</v>
      </c>
      <c r="EE116" s="56">
        <f t="shared" si="1"/>
        <v>-71.411252378396966</v>
      </c>
      <c r="EF116" s="56">
        <f t="shared" si="1"/>
        <v>-79.997010782065445</v>
      </c>
      <c r="EG116" s="56">
        <f t="shared" si="1"/>
        <v>-33.589143777138815</v>
      </c>
      <c r="EH116" s="56">
        <f t="shared" si="1"/>
        <v>1.1987120060439338E-3</v>
      </c>
      <c r="EI116" s="56">
        <f t="shared" si="1"/>
        <v>80.003155583743137</v>
      </c>
      <c r="EJ116" s="56">
        <f t="shared" si="1"/>
        <v>71.687700639117793</v>
      </c>
      <c r="EK116" s="56">
        <f t="shared" si="1"/>
        <v>-20.000000000000909</v>
      </c>
      <c r="EL116" s="56">
        <f t="shared" si="1"/>
        <v>-51.684545055374656</v>
      </c>
      <c r="EM116" s="56">
        <f t="shared" si="1"/>
        <v>-79.998943259989574</v>
      </c>
      <c r="EN116" s="56">
        <f t="shared" si="1"/>
        <v>15.001042103722284</v>
      </c>
      <c r="EO116" s="56">
        <f t="shared" si="1"/>
        <v>5.5034980728887604</v>
      </c>
    </row>
    <row r="117" spans="1:145" x14ac:dyDescent="0.35">
      <c r="A117" s="68" t="s">
        <v>50</v>
      </c>
      <c r="B117" s="69"/>
      <c r="C117" s="48">
        <v>5712</v>
      </c>
      <c r="E117" s="13" t="s">
        <v>36</v>
      </c>
      <c r="F117" s="10">
        <v>1</v>
      </c>
      <c r="G117" s="10">
        <v>1</v>
      </c>
      <c r="H117" s="10">
        <v>1</v>
      </c>
      <c r="I117" s="10">
        <v>1</v>
      </c>
      <c r="J117" s="10">
        <v>1</v>
      </c>
      <c r="K117" s="10">
        <v>1</v>
      </c>
      <c r="L117" s="10">
        <v>1</v>
      </c>
      <c r="M117" s="10">
        <v>1</v>
      </c>
      <c r="N117" s="10">
        <v>1</v>
      </c>
      <c r="O117" s="10">
        <v>1</v>
      </c>
      <c r="P117" s="10">
        <v>0.99999999999999989</v>
      </c>
      <c r="Q117" s="10">
        <v>0.99999999999999989</v>
      </c>
      <c r="R117" s="10">
        <v>0.99999999999999989</v>
      </c>
      <c r="S117" s="10">
        <v>0.99999999999999989</v>
      </c>
      <c r="T117" s="10">
        <v>0.99999999999999989</v>
      </c>
      <c r="U117" s="10">
        <v>1</v>
      </c>
      <c r="V117" s="10">
        <v>1</v>
      </c>
      <c r="W117" s="10">
        <v>1</v>
      </c>
      <c r="X117" s="10">
        <v>0.99999999999999989</v>
      </c>
      <c r="Y117" s="10">
        <v>0.99999999999999989</v>
      </c>
      <c r="Z117" s="10">
        <v>0.99999999999999989</v>
      </c>
      <c r="AA117" s="10">
        <v>0.99999999999999989</v>
      </c>
      <c r="AB117" s="10">
        <v>0.99999999999999989</v>
      </c>
      <c r="AC117" s="10">
        <v>0.99999999999999989</v>
      </c>
      <c r="AE117" s="13" t="s">
        <v>36</v>
      </c>
      <c r="AF117" s="13" t="s">
        <v>63</v>
      </c>
      <c r="AG117" s="15">
        <v>720</v>
      </c>
      <c r="AH117" s="15">
        <v>840.00000000000011</v>
      </c>
      <c r="AI117" s="15">
        <v>960.00000000000034</v>
      </c>
      <c r="AJ117" s="15">
        <v>969</v>
      </c>
      <c r="AK117" s="15">
        <v>853.38337122505754</v>
      </c>
      <c r="AL117" s="15">
        <v>855.52102258867217</v>
      </c>
      <c r="AM117" s="15">
        <v>969</v>
      </c>
      <c r="AN117" s="15">
        <v>969</v>
      </c>
      <c r="AO117" s="15">
        <v>969</v>
      </c>
      <c r="AP117" s="15">
        <v>969</v>
      </c>
      <c r="AQ117" s="15">
        <v>969</v>
      </c>
      <c r="AR117" s="15">
        <v>969</v>
      </c>
      <c r="AS117" s="15">
        <v>969</v>
      </c>
      <c r="AT117" s="15">
        <v>969</v>
      </c>
      <c r="AU117" s="15">
        <v>968.99999999999989</v>
      </c>
      <c r="AV117" s="15">
        <v>969</v>
      </c>
      <c r="AW117" s="15">
        <v>969</v>
      </c>
      <c r="AX117" s="15">
        <v>969</v>
      </c>
      <c r="AY117" s="15">
        <v>969</v>
      </c>
      <c r="AZ117" s="15">
        <v>969</v>
      </c>
      <c r="BA117" s="15">
        <v>969</v>
      </c>
      <c r="BB117" s="15">
        <v>969</v>
      </c>
      <c r="BC117" s="15">
        <v>969</v>
      </c>
      <c r="BD117" s="15">
        <v>968.99999999999989</v>
      </c>
      <c r="BE117" s="9"/>
      <c r="BF117" s="16">
        <v>4</v>
      </c>
      <c r="BG117" s="22">
        <v>708</v>
      </c>
      <c r="BH117" s="19"/>
      <c r="BI117" s="14">
        <v>14</v>
      </c>
      <c r="BJ117" s="22">
        <v>723.6</v>
      </c>
      <c r="BK117" s="19"/>
      <c r="BL117" s="14">
        <v>24</v>
      </c>
      <c r="BM117" s="22">
        <v>708</v>
      </c>
      <c r="BO117" s="13" t="s">
        <v>36</v>
      </c>
      <c r="BP117" s="13" t="s">
        <v>63</v>
      </c>
      <c r="BQ117" s="15">
        <f>IF(F117=1,Gen!$D5-Sheet1!AG117,0)</f>
        <v>249</v>
      </c>
      <c r="BR117" s="15">
        <f>IF(G117=1,Gen!$D5-Sheet1!AH117,0)</f>
        <v>128.99999999999989</v>
      </c>
      <c r="BS117" s="15">
        <f>IF(H117=1,Gen!$D5-Sheet1!AI117,0)</f>
        <v>8.9999999999996589</v>
      </c>
      <c r="BT117" s="15">
        <f>IF(I117=1,Gen!$D5-Sheet1!AJ117,0)</f>
        <v>0</v>
      </c>
      <c r="BU117" s="15">
        <f>IF(J117=1,Gen!$D5-Sheet1!AK117,0)</f>
        <v>115.61662877494246</v>
      </c>
      <c r="BV117" s="15">
        <f>IF(K117=1,Gen!$D5-Sheet1!AL117,0)</f>
        <v>113.47897741132783</v>
      </c>
      <c r="BW117" s="15">
        <f>IF(L117=1,Gen!$D5-Sheet1!AM117,0)</f>
        <v>0</v>
      </c>
      <c r="BX117" s="15">
        <f>IF(M117=1,Gen!$D5-Sheet1!AN117,0)</f>
        <v>0</v>
      </c>
      <c r="BY117" s="15">
        <f>IF(N117=1,Gen!$D5-Sheet1!AO117,0)</f>
        <v>0</v>
      </c>
      <c r="BZ117" s="15">
        <f>IF(O117=1,Gen!$D5-Sheet1!AP117,0)</f>
        <v>0</v>
      </c>
      <c r="CA117" s="15">
        <f>IF(P117=1,Gen!$D5-Sheet1!AQ117,0)</f>
        <v>0</v>
      </c>
      <c r="CB117" s="15">
        <f>IF(Q117=1,Gen!$D5-Sheet1!AR117,0)</f>
        <v>0</v>
      </c>
      <c r="CC117" s="15">
        <f>IF(R117=1,Gen!$D5-Sheet1!AS117,0)</f>
        <v>0</v>
      </c>
      <c r="CD117" s="15">
        <f>IF(S117=1,Gen!$D5-Sheet1!AT117,0)</f>
        <v>0</v>
      </c>
      <c r="CE117" s="15">
        <f>IF(T117=1,Gen!$D5-Sheet1!AU117,0)</f>
        <v>1.1368683772161603E-13</v>
      </c>
      <c r="CF117" s="15">
        <f>IF(U117=1,Gen!$D5-Sheet1!AV117,0)</f>
        <v>0</v>
      </c>
      <c r="CG117" s="15">
        <f>IF(V117=1,Gen!$D5-Sheet1!AW117,0)</f>
        <v>0</v>
      </c>
      <c r="CH117" s="15">
        <f>IF(W117=1,Gen!$D5-Sheet1!AX117,0)</f>
        <v>0</v>
      </c>
      <c r="CI117" s="15">
        <f>IF(X117=1,Gen!$D5-Sheet1!AY117,0)</f>
        <v>0</v>
      </c>
      <c r="CJ117" s="15">
        <f>IF(Y117=1,Gen!$D5-Sheet1!AZ117,0)</f>
        <v>0</v>
      </c>
      <c r="CK117" s="15">
        <f>IF(Z117=1,Gen!$D5-Sheet1!BA117,0)</f>
        <v>0</v>
      </c>
      <c r="CL117" s="15">
        <f>IF(AA117=1,Gen!$D5-Sheet1!BB117,0)</f>
        <v>0</v>
      </c>
      <c r="CM117" s="15">
        <f>IF(AB117=1,Gen!$D5-Sheet1!BC117,0)</f>
        <v>0</v>
      </c>
      <c r="CN117" s="15">
        <f>IF(AC117=1,Gen!$D5-Sheet1!BD117,0)</f>
        <v>1.1368683772161603E-13</v>
      </c>
      <c r="CP117" s="13" t="s">
        <v>36</v>
      </c>
      <c r="CQ117" s="13" t="s">
        <v>63</v>
      </c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R117" s="57">
        <f>(DR127+DR130)-(DR128+DR131)</f>
        <v>0</v>
      </c>
    </row>
    <row r="118" spans="1:145" x14ac:dyDescent="0.35">
      <c r="A118" s="68" t="s">
        <v>3</v>
      </c>
      <c r="B118" s="69"/>
      <c r="C118" s="6">
        <v>0</v>
      </c>
      <c r="E118" s="13" t="s">
        <v>37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1</v>
      </c>
      <c r="Q118" s="10">
        <v>1</v>
      </c>
      <c r="R118" s="10">
        <v>1</v>
      </c>
      <c r="S118" s="10">
        <v>1</v>
      </c>
      <c r="T118" s="10">
        <v>1</v>
      </c>
      <c r="U118" s="10">
        <v>1</v>
      </c>
      <c r="V118" s="10">
        <v>1</v>
      </c>
      <c r="W118" s="10">
        <v>1</v>
      </c>
      <c r="X118" s="10">
        <v>1</v>
      </c>
      <c r="Y118" s="10">
        <v>1</v>
      </c>
      <c r="Z118" s="10">
        <v>1</v>
      </c>
      <c r="AA118" s="10">
        <v>1</v>
      </c>
      <c r="AB118" s="10">
        <v>0</v>
      </c>
      <c r="AC118" s="10">
        <v>0</v>
      </c>
      <c r="AE118" s="13" t="s">
        <v>37</v>
      </c>
      <c r="AF118" s="13" t="s">
        <v>64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85</v>
      </c>
      <c r="AR118" s="15">
        <v>85</v>
      </c>
      <c r="AS118" s="15">
        <v>85</v>
      </c>
      <c r="AT118" s="15">
        <v>85</v>
      </c>
      <c r="AU118" s="15">
        <v>85</v>
      </c>
      <c r="AV118" s="15">
        <v>85</v>
      </c>
      <c r="AW118" s="15">
        <v>85</v>
      </c>
      <c r="AX118" s="15">
        <v>85</v>
      </c>
      <c r="AY118" s="15">
        <v>85</v>
      </c>
      <c r="AZ118" s="15">
        <v>85</v>
      </c>
      <c r="BA118" s="15">
        <v>85</v>
      </c>
      <c r="BB118" s="15">
        <v>85</v>
      </c>
      <c r="BC118" s="15">
        <v>0</v>
      </c>
      <c r="BD118" s="15">
        <v>0</v>
      </c>
      <c r="BE118" s="9"/>
      <c r="BF118" s="16">
        <v>5</v>
      </c>
      <c r="BG118" s="22">
        <v>708</v>
      </c>
      <c r="BH118" s="19"/>
      <c r="BI118" s="14">
        <v>15</v>
      </c>
      <c r="BJ118" s="22">
        <v>723.6</v>
      </c>
      <c r="BK118" s="20"/>
      <c r="BL118" s="20"/>
      <c r="BM118" s="20"/>
      <c r="BO118" s="13" t="s">
        <v>37</v>
      </c>
      <c r="BP118" s="13" t="s">
        <v>64</v>
      </c>
      <c r="BQ118" s="15">
        <f>IF(F118=1,Gen!$D6-Sheet1!AG118,0)</f>
        <v>0</v>
      </c>
      <c r="BR118" s="15">
        <f>IF(G118=1,Gen!$D6-Sheet1!AH118,0)</f>
        <v>0</v>
      </c>
      <c r="BS118" s="15">
        <f>IF(H118=1,Gen!$D6-Sheet1!AI118,0)</f>
        <v>0</v>
      </c>
      <c r="BT118" s="15">
        <f>IF(I118=1,Gen!$D6-Sheet1!AJ118,0)</f>
        <v>0</v>
      </c>
      <c r="BU118" s="15">
        <f>IF(J118=1,Gen!$D6-Sheet1!AK118,0)</f>
        <v>0</v>
      </c>
      <c r="BV118" s="15">
        <f>IF(K118=1,Gen!$D6-Sheet1!AL118,0)</f>
        <v>0</v>
      </c>
      <c r="BW118" s="15">
        <f>IF(L118=1,Gen!$D6-Sheet1!AM118,0)</f>
        <v>0</v>
      </c>
      <c r="BX118" s="15">
        <f>IF(M118=1,Gen!$D6-Sheet1!AN118,0)</f>
        <v>0</v>
      </c>
      <c r="BY118" s="15">
        <f>IF(N118=1,Gen!$D6-Sheet1!AO118,0)</f>
        <v>0</v>
      </c>
      <c r="BZ118" s="15">
        <f>IF(O118=1,Gen!$D6-Sheet1!AP118,0)</f>
        <v>0</v>
      </c>
      <c r="CA118" s="15">
        <f>IF(P118=1,Gen!$D6-Sheet1!AQ118,0)</f>
        <v>45</v>
      </c>
      <c r="CB118" s="15">
        <f>IF(Q118=1,Gen!$D6-Sheet1!AR118,0)</f>
        <v>45</v>
      </c>
      <c r="CC118" s="15">
        <f>IF(R118=1,Gen!$D6-Sheet1!AS118,0)</f>
        <v>45</v>
      </c>
      <c r="CD118" s="15">
        <f>IF(S118=1,Gen!$D6-Sheet1!AT118,0)</f>
        <v>45</v>
      </c>
      <c r="CE118" s="15">
        <f>IF(T118=1,Gen!$D6-Sheet1!AU118,0)</f>
        <v>45</v>
      </c>
      <c r="CF118" s="15">
        <f>IF(U118=1,Gen!$D6-Sheet1!AV118,0)</f>
        <v>45</v>
      </c>
      <c r="CG118" s="15">
        <f>IF(V118=1,Gen!$D6-Sheet1!AW118,0)</f>
        <v>45</v>
      </c>
      <c r="CH118" s="15">
        <f>IF(W118=1,Gen!$D6-Sheet1!AX118,0)</f>
        <v>45</v>
      </c>
      <c r="CI118" s="15">
        <f>IF(X118=1,Gen!$D6-Sheet1!AY118,0)</f>
        <v>45</v>
      </c>
      <c r="CJ118" s="15">
        <f>IF(Y118=1,Gen!$D6-Sheet1!AZ118,0)</f>
        <v>45</v>
      </c>
      <c r="CK118" s="15">
        <f>IF(Z118=1,Gen!$D6-Sheet1!BA118,0)</f>
        <v>45</v>
      </c>
      <c r="CL118" s="15">
        <f>IF(AA118=1,Gen!$D6-Sheet1!BB118,0)</f>
        <v>45</v>
      </c>
      <c r="CM118" s="15">
        <f>IF(AB118=1,Gen!$D6-Sheet1!BC118,0)</f>
        <v>0</v>
      </c>
      <c r="CN118" s="15">
        <f>IF(AC118=1,Gen!$D6-Sheet1!BD118,0)</f>
        <v>0</v>
      </c>
      <c r="CP118" s="13" t="s">
        <v>37</v>
      </c>
      <c r="CQ118" s="13" t="s">
        <v>64</v>
      </c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Q118" t="s">
        <v>147</v>
      </c>
    </row>
    <row r="119" spans="1:145" x14ac:dyDescent="0.35">
      <c r="A119" s="70" t="s">
        <v>4</v>
      </c>
      <c r="B119" s="71"/>
      <c r="C119" s="25">
        <f>SUM(C113:C118)</f>
        <v>4019884.4800000004</v>
      </c>
      <c r="E119" s="13" t="s">
        <v>38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1</v>
      </c>
      <c r="Y119" s="10">
        <v>1</v>
      </c>
      <c r="Z119" s="10">
        <v>0</v>
      </c>
      <c r="AA119" s="10">
        <v>0</v>
      </c>
      <c r="AB119" s="10">
        <v>0</v>
      </c>
      <c r="AC119" s="10">
        <v>0</v>
      </c>
      <c r="AE119" s="13" t="s">
        <v>38</v>
      </c>
      <c r="AF119" s="13" t="s">
        <v>65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5">
        <v>0</v>
      </c>
      <c r="AP119" s="15">
        <v>0</v>
      </c>
      <c r="AQ119" s="15">
        <v>0</v>
      </c>
      <c r="AR119" s="15">
        <v>0</v>
      </c>
      <c r="AS119" s="15">
        <v>0</v>
      </c>
      <c r="AT119" s="15">
        <v>0</v>
      </c>
      <c r="AU119" s="15">
        <v>0</v>
      </c>
      <c r="AV119" s="15">
        <v>0</v>
      </c>
      <c r="AW119" s="15">
        <v>0</v>
      </c>
      <c r="AX119" s="15">
        <v>0</v>
      </c>
      <c r="AY119" s="15">
        <v>66</v>
      </c>
      <c r="AZ119" s="15">
        <v>66</v>
      </c>
      <c r="BA119" s="15">
        <v>0</v>
      </c>
      <c r="BB119" s="15">
        <v>0</v>
      </c>
      <c r="BC119" s="15">
        <v>0</v>
      </c>
      <c r="BD119" s="15">
        <v>0</v>
      </c>
      <c r="BE119" s="9"/>
      <c r="BF119" s="16">
        <v>6</v>
      </c>
      <c r="BG119" s="22">
        <v>708</v>
      </c>
      <c r="BH119" s="19"/>
      <c r="BI119" s="14">
        <v>16</v>
      </c>
      <c r="BJ119" s="22">
        <v>723.6</v>
      </c>
      <c r="BK119" s="20"/>
      <c r="BL119" s="20"/>
      <c r="BM119" s="20"/>
      <c r="BO119" s="13" t="s">
        <v>38</v>
      </c>
      <c r="BP119" s="13" t="s">
        <v>65</v>
      </c>
      <c r="BQ119" s="15">
        <f>IF(F119=1,Gen!$D7-Sheet1!AG119,0)</f>
        <v>0</v>
      </c>
      <c r="BR119" s="15">
        <f>IF(G119=1,Gen!$D7-Sheet1!AH119,0)</f>
        <v>0</v>
      </c>
      <c r="BS119" s="15">
        <f>IF(H119=1,Gen!$D7-Sheet1!AI119,0)</f>
        <v>0</v>
      </c>
      <c r="BT119" s="15">
        <f>IF(I119=1,Gen!$D7-Sheet1!AJ119,0)</f>
        <v>0</v>
      </c>
      <c r="BU119" s="15">
        <f>IF(J119=1,Gen!$D7-Sheet1!AK119,0)</f>
        <v>0</v>
      </c>
      <c r="BV119" s="15">
        <f>IF(K119=1,Gen!$D7-Sheet1!AL119,0)</f>
        <v>0</v>
      </c>
      <c r="BW119" s="15">
        <f>IF(L119=1,Gen!$D7-Sheet1!AM119,0)</f>
        <v>0</v>
      </c>
      <c r="BX119" s="15">
        <f>IF(M119=1,Gen!$D7-Sheet1!AN119,0)</f>
        <v>0</v>
      </c>
      <c r="BY119" s="15">
        <f>IF(N119=1,Gen!$D7-Sheet1!AO119,0)</f>
        <v>0</v>
      </c>
      <c r="BZ119" s="15">
        <f>IF(O119=1,Gen!$D7-Sheet1!AP119,0)</f>
        <v>0</v>
      </c>
      <c r="CA119" s="15">
        <f>IF(P119=1,Gen!$D7-Sheet1!AQ119,0)</f>
        <v>0</v>
      </c>
      <c r="CB119" s="15">
        <f>IF(Q119=1,Gen!$D7-Sheet1!AR119,0)</f>
        <v>0</v>
      </c>
      <c r="CC119" s="15">
        <f>IF(R119=1,Gen!$D7-Sheet1!AS119,0)</f>
        <v>0</v>
      </c>
      <c r="CD119" s="15">
        <f>IF(S119=1,Gen!$D7-Sheet1!AT119,0)</f>
        <v>0</v>
      </c>
      <c r="CE119" s="15">
        <f>IF(T119=1,Gen!$D7-Sheet1!AU119,0)</f>
        <v>0</v>
      </c>
      <c r="CF119" s="15">
        <f>IF(U119=1,Gen!$D7-Sheet1!AV119,0)</f>
        <v>0</v>
      </c>
      <c r="CG119" s="15">
        <f>IF(V119=1,Gen!$D7-Sheet1!AW119,0)</f>
        <v>0</v>
      </c>
      <c r="CH119" s="15">
        <f>IF(W119=1,Gen!$D7-Sheet1!AX119,0)</f>
        <v>0</v>
      </c>
      <c r="CI119" s="15">
        <f>IF(X119=1,Gen!$D7-Sheet1!AY119,0)</f>
        <v>42</v>
      </c>
      <c r="CJ119" s="15">
        <f>IF(Y119=1,Gen!$D7-Sheet1!AZ119,0)</f>
        <v>42</v>
      </c>
      <c r="CK119" s="15">
        <f>IF(Z119=1,Gen!$D7-Sheet1!BA119,0)</f>
        <v>0</v>
      </c>
      <c r="CL119" s="15">
        <f>IF(AA119=1,Gen!$D7-Sheet1!BB119,0)</f>
        <v>0</v>
      </c>
      <c r="CM119" s="15">
        <f>IF(AB119=1,Gen!$D7-Sheet1!BC119,0)</f>
        <v>0</v>
      </c>
      <c r="CN119" s="15">
        <f>IF(AC119=1,Gen!$D7-Sheet1!BD119,0)</f>
        <v>0</v>
      </c>
      <c r="CP119" s="13" t="s">
        <v>38</v>
      </c>
      <c r="CQ119" s="13" t="s">
        <v>65</v>
      </c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Q119" s="67" t="s">
        <v>146</v>
      </c>
      <c r="DR119" s="67" t="s">
        <v>22</v>
      </c>
      <c r="DS119" s="67"/>
      <c r="DT119" s="67"/>
      <c r="DU119" s="67"/>
      <c r="DV119" s="67"/>
      <c r="DW119" s="67"/>
      <c r="DX119" s="67"/>
      <c r="DY119" s="67"/>
      <c r="DZ119" s="67"/>
      <c r="EA119" s="67"/>
      <c r="EB119" s="67"/>
      <c r="EC119" s="67"/>
      <c r="ED119" s="67"/>
      <c r="EE119" s="67"/>
      <c r="EF119" s="67"/>
      <c r="EG119" s="67"/>
      <c r="EH119" s="67"/>
      <c r="EI119" s="67"/>
      <c r="EJ119" s="67"/>
      <c r="EK119" s="67"/>
      <c r="EL119" s="67"/>
      <c r="EM119" s="67"/>
      <c r="EN119" s="67"/>
      <c r="EO119" s="67"/>
    </row>
    <row r="120" spans="1:145" x14ac:dyDescent="0.35">
      <c r="E120" s="13" t="s">
        <v>39</v>
      </c>
      <c r="F120" s="10">
        <v>1</v>
      </c>
      <c r="G120" s="10">
        <v>1</v>
      </c>
      <c r="H120" s="10">
        <v>1</v>
      </c>
      <c r="I120" s="10">
        <v>1</v>
      </c>
      <c r="J120" s="10">
        <v>1</v>
      </c>
      <c r="K120" s="10">
        <v>1</v>
      </c>
      <c r="L120" s="10">
        <v>1</v>
      </c>
      <c r="M120" s="10">
        <v>1</v>
      </c>
      <c r="N120" s="10">
        <v>1</v>
      </c>
      <c r="O120" s="10">
        <v>1</v>
      </c>
      <c r="P120" s="10">
        <v>1</v>
      </c>
      <c r="Q120" s="10">
        <v>1</v>
      </c>
      <c r="R120" s="10">
        <v>1</v>
      </c>
      <c r="S120" s="10">
        <v>1</v>
      </c>
      <c r="T120" s="10">
        <v>1</v>
      </c>
      <c r="U120" s="10">
        <v>1</v>
      </c>
      <c r="V120" s="10">
        <v>1</v>
      </c>
      <c r="W120" s="10">
        <v>1</v>
      </c>
      <c r="X120" s="10">
        <v>1</v>
      </c>
      <c r="Y120" s="10">
        <v>1</v>
      </c>
      <c r="Z120" s="10">
        <v>1</v>
      </c>
      <c r="AA120" s="10">
        <v>1</v>
      </c>
      <c r="AB120" s="10">
        <v>1</v>
      </c>
      <c r="AC120" s="10">
        <v>1</v>
      </c>
      <c r="AE120" s="13" t="s">
        <v>39</v>
      </c>
      <c r="AF120" s="13" t="s">
        <v>66</v>
      </c>
      <c r="AG120" s="15">
        <v>401.17683465873051</v>
      </c>
      <c r="AH120" s="15">
        <v>250</v>
      </c>
      <c r="AI120" s="15">
        <v>250</v>
      </c>
      <c r="AJ120" s="15">
        <v>250</v>
      </c>
      <c r="AK120" s="15">
        <v>250</v>
      </c>
      <c r="AL120" s="15">
        <v>250</v>
      </c>
      <c r="AM120" s="15">
        <v>250</v>
      </c>
      <c r="AN120" s="15">
        <v>250</v>
      </c>
      <c r="AO120" s="15">
        <v>250</v>
      </c>
      <c r="AP120" s="15">
        <v>550</v>
      </c>
      <c r="AQ120" s="15">
        <v>250</v>
      </c>
      <c r="AR120" s="15">
        <v>250</v>
      </c>
      <c r="AS120" s="15">
        <v>367.58458896423872</v>
      </c>
      <c r="AT120" s="15">
        <v>281.8112523783966</v>
      </c>
      <c r="AU120" s="15">
        <v>581.8112523783966</v>
      </c>
      <c r="AV120" s="15">
        <v>449</v>
      </c>
      <c r="AW120" s="15">
        <v>704</v>
      </c>
      <c r="AX120" s="15">
        <v>690.59478948138894</v>
      </c>
      <c r="AY120" s="15">
        <v>390.59478948138894</v>
      </c>
      <c r="AZ120" s="15">
        <v>550</v>
      </c>
      <c r="BA120" s="15">
        <v>250</v>
      </c>
      <c r="BB120" s="15">
        <v>250</v>
      </c>
      <c r="BC120" s="15">
        <v>419.2200146362884</v>
      </c>
      <c r="BD120" s="15">
        <v>250</v>
      </c>
      <c r="BE120" s="9"/>
      <c r="BF120" s="16">
        <v>7</v>
      </c>
      <c r="BG120" s="22">
        <v>708</v>
      </c>
      <c r="BH120" s="19"/>
      <c r="BI120" s="14">
        <v>17</v>
      </c>
      <c r="BJ120" s="22">
        <v>723.6</v>
      </c>
      <c r="BK120" s="20"/>
      <c r="BL120" s="20"/>
      <c r="BM120" s="20"/>
      <c r="BO120" s="13" t="s">
        <v>39</v>
      </c>
      <c r="BP120" s="13" t="s">
        <v>66</v>
      </c>
      <c r="BQ120" s="15">
        <f>IF(F120=1,Gen!$D8-Sheet1!AG120,0)</f>
        <v>693.82316534126949</v>
      </c>
      <c r="BR120" s="15">
        <f>IF(G120=1,Gen!$D8-Sheet1!AH120,0)</f>
        <v>845</v>
      </c>
      <c r="BS120" s="15">
        <f>IF(H120=1,Gen!$D8-Sheet1!AI120,0)</f>
        <v>845</v>
      </c>
      <c r="BT120" s="15">
        <f>IF(I120=1,Gen!$D8-Sheet1!AJ120,0)</f>
        <v>845</v>
      </c>
      <c r="BU120" s="15">
        <f>IF(J120=1,Gen!$D8-Sheet1!AK120,0)</f>
        <v>845</v>
      </c>
      <c r="BV120" s="15">
        <f>IF(K120=1,Gen!$D8-Sheet1!AL120,0)</f>
        <v>845</v>
      </c>
      <c r="BW120" s="15">
        <f>IF(L120=1,Gen!$D8-Sheet1!AM120,0)</f>
        <v>845</v>
      </c>
      <c r="BX120" s="15">
        <f>IF(M120=1,Gen!$D8-Sheet1!AN120,0)</f>
        <v>845</v>
      </c>
      <c r="BY120" s="15">
        <f>IF(N120=1,Gen!$D8-Sheet1!AO120,0)</f>
        <v>845</v>
      </c>
      <c r="BZ120" s="15">
        <f>IF(O120=1,Gen!$D8-Sheet1!AP120,0)</f>
        <v>545</v>
      </c>
      <c r="CA120" s="15">
        <f>IF(P120=1,Gen!$D8-Sheet1!AQ120,0)</f>
        <v>845</v>
      </c>
      <c r="CB120" s="15">
        <f>IF(Q120=1,Gen!$D8-Sheet1!AR120,0)</f>
        <v>845</v>
      </c>
      <c r="CC120" s="15">
        <f>IF(R120=1,Gen!$D8-Sheet1!AS120,0)</f>
        <v>727.41541103576128</v>
      </c>
      <c r="CD120" s="15">
        <f>IF(S120=1,Gen!$D8-Sheet1!AT120,0)</f>
        <v>813.1887476216034</v>
      </c>
      <c r="CE120" s="15">
        <f>IF(T120=1,Gen!$D8-Sheet1!AU120,0)</f>
        <v>513.1887476216034</v>
      </c>
      <c r="CF120" s="15">
        <f>IF(U120=1,Gen!$D8-Sheet1!AV120,0)</f>
        <v>646</v>
      </c>
      <c r="CG120" s="15">
        <f>IF(V120=1,Gen!$D8-Sheet1!AW120,0)</f>
        <v>391</v>
      </c>
      <c r="CH120" s="15">
        <f>IF(W120=1,Gen!$D8-Sheet1!AX120,0)</f>
        <v>404.40521051861106</v>
      </c>
      <c r="CI120" s="15">
        <f>IF(X120=1,Gen!$D8-Sheet1!AY120,0)</f>
        <v>704.40521051861106</v>
      </c>
      <c r="CJ120" s="15">
        <f>IF(Y120=1,Gen!$D8-Sheet1!AZ120,0)</f>
        <v>545</v>
      </c>
      <c r="CK120" s="15">
        <f>IF(Z120=1,Gen!$D8-Sheet1!BA120,0)</f>
        <v>845</v>
      </c>
      <c r="CL120" s="15">
        <f>IF(AA120=1,Gen!$D8-Sheet1!BB120,0)</f>
        <v>845</v>
      </c>
      <c r="CM120" s="15">
        <f>IF(AB120=1,Gen!$D8-Sheet1!BC120,0)</f>
        <v>675.7799853637116</v>
      </c>
      <c r="CN120" s="15">
        <f>IF(AC120=1,Gen!$D8-Sheet1!BD120,0)</f>
        <v>845</v>
      </c>
      <c r="CP120" s="13" t="s">
        <v>39</v>
      </c>
      <c r="CQ120" s="13" t="s">
        <v>66</v>
      </c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Q120" s="67"/>
      <c r="DR120" s="16">
        <v>1</v>
      </c>
      <c r="DS120" s="16">
        <v>2</v>
      </c>
      <c r="DT120" s="16">
        <v>3</v>
      </c>
      <c r="DU120" s="16">
        <v>4</v>
      </c>
      <c r="DV120" s="16">
        <v>5</v>
      </c>
      <c r="DW120" s="16">
        <v>6</v>
      </c>
      <c r="DX120" s="16">
        <v>7</v>
      </c>
      <c r="DY120" s="16">
        <v>8</v>
      </c>
      <c r="DZ120" s="16">
        <v>9</v>
      </c>
      <c r="EA120" s="16">
        <v>10</v>
      </c>
      <c r="EB120" s="16">
        <v>11</v>
      </c>
      <c r="EC120" s="16">
        <v>12</v>
      </c>
      <c r="ED120" s="16">
        <v>13</v>
      </c>
      <c r="EE120" s="16">
        <v>14</v>
      </c>
      <c r="EF120" s="16">
        <v>15</v>
      </c>
      <c r="EG120" s="16">
        <v>16</v>
      </c>
      <c r="EH120" s="16">
        <v>17</v>
      </c>
      <c r="EI120" s="16">
        <v>18</v>
      </c>
      <c r="EJ120" s="16">
        <v>19</v>
      </c>
      <c r="EK120" s="16">
        <v>20</v>
      </c>
      <c r="EL120" s="16">
        <v>21</v>
      </c>
      <c r="EM120" s="16">
        <v>22</v>
      </c>
      <c r="EN120" s="16">
        <v>23</v>
      </c>
      <c r="EO120" s="16">
        <v>24</v>
      </c>
    </row>
    <row r="121" spans="1:145" x14ac:dyDescent="0.35">
      <c r="E121" s="13" t="s">
        <v>40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E121" s="13" t="s">
        <v>40</v>
      </c>
      <c r="AF121" s="13" t="s">
        <v>67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5">
        <v>0</v>
      </c>
      <c r="AP121" s="15">
        <v>0</v>
      </c>
      <c r="AQ121" s="15">
        <v>0</v>
      </c>
      <c r="AR121" s="15">
        <v>0</v>
      </c>
      <c r="AS121" s="15">
        <v>0</v>
      </c>
      <c r="AT121" s="15">
        <v>0</v>
      </c>
      <c r="AU121" s="15">
        <v>0</v>
      </c>
      <c r="AV121" s="15">
        <v>0</v>
      </c>
      <c r="AW121" s="15">
        <v>0</v>
      </c>
      <c r="AX121" s="15">
        <v>0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9"/>
      <c r="BF121" s="16">
        <v>8</v>
      </c>
      <c r="BG121" s="22">
        <v>708</v>
      </c>
      <c r="BH121" s="19"/>
      <c r="BI121" s="14">
        <v>18</v>
      </c>
      <c r="BJ121" s="22">
        <v>723.6</v>
      </c>
      <c r="BK121" s="20"/>
      <c r="BL121" s="20"/>
      <c r="BM121" s="20"/>
      <c r="BO121" s="13" t="s">
        <v>40</v>
      </c>
      <c r="BP121" s="13" t="s">
        <v>67</v>
      </c>
      <c r="BQ121" s="15">
        <f>IF(F121=1,Gen!$D9-Sheet1!AG121,0)</f>
        <v>0</v>
      </c>
      <c r="BR121" s="15">
        <f>IF(G121=1,Gen!$D9-Sheet1!AH121,0)</f>
        <v>0</v>
      </c>
      <c r="BS121" s="15">
        <f>IF(H121=1,Gen!$D9-Sheet1!AI121,0)</f>
        <v>0</v>
      </c>
      <c r="BT121" s="15">
        <f>IF(I121=1,Gen!$D9-Sheet1!AJ121,0)</f>
        <v>0</v>
      </c>
      <c r="BU121" s="15">
        <f>IF(J121=1,Gen!$D9-Sheet1!AK121,0)</f>
        <v>0</v>
      </c>
      <c r="BV121" s="15">
        <f>IF(K121=1,Gen!$D9-Sheet1!AL121,0)</f>
        <v>0</v>
      </c>
      <c r="BW121" s="15">
        <f>IF(L121=1,Gen!$D9-Sheet1!AM121,0)</f>
        <v>0</v>
      </c>
      <c r="BX121" s="15">
        <f>IF(M121=1,Gen!$D9-Sheet1!AN121,0)</f>
        <v>0</v>
      </c>
      <c r="BY121" s="15">
        <f>IF(N121=1,Gen!$D9-Sheet1!AO121,0)</f>
        <v>0</v>
      </c>
      <c r="BZ121" s="15">
        <f>IF(O121=1,Gen!$D9-Sheet1!AP121,0)</f>
        <v>0</v>
      </c>
      <c r="CA121" s="15">
        <f>IF(P121=1,Gen!$D9-Sheet1!AQ121,0)</f>
        <v>0</v>
      </c>
      <c r="CB121" s="15">
        <f>IF(Q121=1,Gen!$D9-Sheet1!AR121,0)</f>
        <v>0</v>
      </c>
      <c r="CC121" s="15">
        <f>IF(R121=1,Gen!$D9-Sheet1!AS121,0)</f>
        <v>0</v>
      </c>
      <c r="CD121" s="15">
        <f>IF(S121=1,Gen!$D9-Sheet1!AT121,0)</f>
        <v>0</v>
      </c>
      <c r="CE121" s="15">
        <f>IF(T121=1,Gen!$D9-Sheet1!AU121,0)</f>
        <v>0</v>
      </c>
      <c r="CF121" s="15">
        <f>IF(U121=1,Gen!$D9-Sheet1!AV121,0)</f>
        <v>0</v>
      </c>
      <c r="CG121" s="15">
        <f>IF(V121=1,Gen!$D9-Sheet1!AW121,0)</f>
        <v>0</v>
      </c>
      <c r="CH121" s="15">
        <f>IF(W121=1,Gen!$D9-Sheet1!AX121,0)</f>
        <v>0</v>
      </c>
      <c r="CI121" s="15">
        <f>IF(X121=1,Gen!$D9-Sheet1!AY121,0)</f>
        <v>0</v>
      </c>
      <c r="CJ121" s="15">
        <f>IF(Y121=1,Gen!$D9-Sheet1!AZ121,0)</f>
        <v>0</v>
      </c>
      <c r="CK121" s="15">
        <f>IF(Z121=1,Gen!$D9-Sheet1!BA121,0)</f>
        <v>0</v>
      </c>
      <c r="CL121" s="15">
        <f>IF(AA121=1,Gen!$D9-Sheet1!BB121,0)</f>
        <v>0</v>
      </c>
      <c r="CM121" s="15">
        <f>IF(AB121=1,Gen!$D9-Sheet1!BC121,0)</f>
        <v>0</v>
      </c>
      <c r="CN121" s="15">
        <f>IF(AC121=1,Gen!$D9-Sheet1!BD121,0)</f>
        <v>0</v>
      </c>
      <c r="CP121" s="13" t="s">
        <v>40</v>
      </c>
      <c r="CQ121" s="13" t="s">
        <v>67</v>
      </c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Q121" s="35" t="s">
        <v>127</v>
      </c>
      <c r="DR121" s="56">
        <f>40.5+DR115</f>
        <v>20</v>
      </c>
      <c r="DS121" s="56">
        <f t="shared" ref="DS121:EO121" si="2">40.5+DS115</f>
        <v>40.5</v>
      </c>
      <c r="DT121" s="56">
        <f t="shared" si="2"/>
        <v>65.298214372834991</v>
      </c>
      <c r="DU121" s="56">
        <f t="shared" si="2"/>
        <v>120.5</v>
      </c>
      <c r="DV121" s="56">
        <f t="shared" si="2"/>
        <v>120.5</v>
      </c>
      <c r="DW121" s="56">
        <f t="shared" si="2"/>
        <v>40.5</v>
      </c>
      <c r="DX121" s="56">
        <f t="shared" si="2"/>
        <v>-39.298214372834991</v>
      </c>
      <c r="DY121" s="56">
        <f t="shared" si="2"/>
        <v>120.5</v>
      </c>
      <c r="DZ121" s="56">
        <f t="shared" si="2"/>
        <v>40.5</v>
      </c>
      <c r="EA121" s="56">
        <f t="shared" si="2"/>
        <v>40.5</v>
      </c>
      <c r="EB121" s="56">
        <f t="shared" si="2"/>
        <v>-11.384246475093278</v>
      </c>
      <c r="EC121" s="56">
        <f t="shared" si="2"/>
        <v>-7.6157535249067223</v>
      </c>
      <c r="ED121" s="56">
        <f t="shared" si="2"/>
        <v>60.5</v>
      </c>
      <c r="EE121" s="56">
        <f t="shared" si="2"/>
        <v>100.5</v>
      </c>
      <c r="EF121" s="56">
        <f t="shared" si="2"/>
        <v>-39.5</v>
      </c>
      <c r="EG121" s="56">
        <f t="shared" si="2"/>
        <v>6.9108562228611845</v>
      </c>
      <c r="EH121" s="56">
        <f t="shared" si="2"/>
        <v>24.051198712006226</v>
      </c>
      <c r="EI121" s="56">
        <f t="shared" si="2"/>
        <v>110.53794506513259</v>
      </c>
      <c r="EJ121" s="56">
        <f t="shared" si="2"/>
        <v>120.5</v>
      </c>
      <c r="EK121" s="56">
        <f t="shared" si="2"/>
        <v>40.5</v>
      </c>
      <c r="EL121" s="56">
        <f t="shared" si="2"/>
        <v>-39.5</v>
      </c>
      <c r="EM121" s="56">
        <f t="shared" si="2"/>
        <v>-39.5</v>
      </c>
      <c r="EN121" s="56">
        <f t="shared" si="2"/>
        <v>15.5</v>
      </c>
      <c r="EO121" s="56">
        <f t="shared" si="2"/>
        <v>61</v>
      </c>
    </row>
    <row r="122" spans="1:145" x14ac:dyDescent="0.35">
      <c r="E122" s="13" t="s">
        <v>41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E122" s="13" t="s">
        <v>41</v>
      </c>
      <c r="AF122" s="13" t="s">
        <v>68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</v>
      </c>
      <c r="AR122" s="15">
        <v>0</v>
      </c>
      <c r="AS122" s="15">
        <v>0</v>
      </c>
      <c r="AT122" s="15">
        <v>0</v>
      </c>
      <c r="AU122" s="15">
        <v>0</v>
      </c>
      <c r="AV122" s="15">
        <v>0</v>
      </c>
      <c r="AW122" s="15">
        <v>0</v>
      </c>
      <c r="AX122" s="15">
        <v>0</v>
      </c>
      <c r="AY122" s="15">
        <v>0</v>
      </c>
      <c r="AZ122" s="15">
        <v>0</v>
      </c>
      <c r="BA122" s="15">
        <v>0</v>
      </c>
      <c r="BB122" s="15">
        <v>0</v>
      </c>
      <c r="BC122" s="15">
        <v>0</v>
      </c>
      <c r="BD122" s="15">
        <v>0</v>
      </c>
      <c r="BE122" s="9"/>
      <c r="BF122" s="16">
        <v>9</v>
      </c>
      <c r="BG122" s="22">
        <v>708</v>
      </c>
      <c r="BH122" s="19"/>
      <c r="BI122" s="14">
        <v>19</v>
      </c>
      <c r="BJ122" s="22">
        <v>736.56000000000006</v>
      </c>
      <c r="BK122" s="20"/>
      <c r="BL122" s="20"/>
      <c r="BM122" s="20"/>
      <c r="BO122" s="13" t="s">
        <v>41</v>
      </c>
      <c r="BP122" s="13" t="s">
        <v>68</v>
      </c>
      <c r="BQ122" s="15">
        <f>IF(F122=1,Gen!$D10-Sheet1!AG122,0)</f>
        <v>0</v>
      </c>
      <c r="BR122" s="15">
        <f>IF(G122=1,Gen!$D10-Sheet1!AH122,0)</f>
        <v>0</v>
      </c>
      <c r="BS122" s="15">
        <f>IF(H122=1,Gen!$D10-Sheet1!AI122,0)</f>
        <v>0</v>
      </c>
      <c r="BT122" s="15">
        <f>IF(I122=1,Gen!$D10-Sheet1!AJ122,0)</f>
        <v>0</v>
      </c>
      <c r="BU122" s="15">
        <f>IF(J122=1,Gen!$D10-Sheet1!AK122,0)</f>
        <v>0</v>
      </c>
      <c r="BV122" s="15">
        <f>IF(K122=1,Gen!$D10-Sheet1!AL122,0)</f>
        <v>0</v>
      </c>
      <c r="BW122" s="15">
        <f>IF(L122=1,Gen!$D10-Sheet1!AM122,0)</f>
        <v>0</v>
      </c>
      <c r="BX122" s="15">
        <f>IF(M122=1,Gen!$D10-Sheet1!AN122,0)</f>
        <v>0</v>
      </c>
      <c r="BY122" s="15">
        <f>IF(N122=1,Gen!$D10-Sheet1!AO122,0)</f>
        <v>0</v>
      </c>
      <c r="BZ122" s="15">
        <f>IF(O122=1,Gen!$D10-Sheet1!AP122,0)</f>
        <v>0</v>
      </c>
      <c r="CA122" s="15">
        <f>IF(P122=1,Gen!$D10-Sheet1!AQ122,0)</f>
        <v>0</v>
      </c>
      <c r="CB122" s="15">
        <f>IF(Q122=1,Gen!$D10-Sheet1!AR122,0)</f>
        <v>0</v>
      </c>
      <c r="CC122" s="15">
        <f>IF(R122=1,Gen!$D10-Sheet1!AS122,0)</f>
        <v>0</v>
      </c>
      <c r="CD122" s="15">
        <f>IF(S122=1,Gen!$D10-Sheet1!AT122,0)</f>
        <v>0</v>
      </c>
      <c r="CE122" s="15">
        <f>IF(T122=1,Gen!$D10-Sheet1!AU122,0)</f>
        <v>0</v>
      </c>
      <c r="CF122" s="15">
        <f>IF(U122=1,Gen!$D10-Sheet1!AV122,0)</f>
        <v>0</v>
      </c>
      <c r="CG122" s="15">
        <f>IF(V122=1,Gen!$D10-Sheet1!AW122,0)</f>
        <v>0</v>
      </c>
      <c r="CH122" s="15">
        <f>IF(W122=1,Gen!$D10-Sheet1!AX122,0)</f>
        <v>0</v>
      </c>
      <c r="CI122" s="15">
        <f>IF(X122=1,Gen!$D10-Sheet1!AY122,0)</f>
        <v>0</v>
      </c>
      <c r="CJ122" s="15">
        <f>IF(Y122=1,Gen!$D10-Sheet1!AZ122,0)</f>
        <v>0</v>
      </c>
      <c r="CK122" s="15">
        <f>IF(Z122=1,Gen!$D10-Sheet1!BA122,0)</f>
        <v>0</v>
      </c>
      <c r="CL122" s="15">
        <f>IF(AA122=1,Gen!$D10-Sheet1!BB122,0)</f>
        <v>0</v>
      </c>
      <c r="CM122" s="15">
        <f>IF(AB122=1,Gen!$D10-Sheet1!BC122,0)</f>
        <v>0</v>
      </c>
      <c r="CN122" s="15">
        <f>IF(AC122=1,Gen!$D10-Sheet1!BD122,0)</f>
        <v>0</v>
      </c>
      <c r="CP122" s="13" t="s">
        <v>41</v>
      </c>
      <c r="CQ122" s="13" t="s">
        <v>68</v>
      </c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Q122" s="35" t="s">
        <v>144</v>
      </c>
      <c r="DR122" s="56">
        <v>20</v>
      </c>
      <c r="DS122" s="56">
        <v>20</v>
      </c>
      <c r="DT122" s="56">
        <v>20</v>
      </c>
      <c r="DU122" s="56">
        <v>40</v>
      </c>
      <c r="DV122" s="56">
        <v>40</v>
      </c>
      <c r="DW122" s="56">
        <v>65</v>
      </c>
      <c r="DX122" s="56">
        <v>125</v>
      </c>
      <c r="DY122" s="56">
        <v>205</v>
      </c>
      <c r="DZ122" s="56">
        <v>205</v>
      </c>
      <c r="EA122" s="56">
        <v>205</v>
      </c>
      <c r="EB122" s="56">
        <v>185</v>
      </c>
      <c r="EC122" s="56">
        <v>125</v>
      </c>
      <c r="ED122" s="56">
        <v>205</v>
      </c>
      <c r="EE122" s="56">
        <v>133.59</v>
      </c>
      <c r="EF122" s="56">
        <v>53.59</v>
      </c>
      <c r="EG122" s="56">
        <v>20</v>
      </c>
      <c r="EH122" s="56">
        <v>20</v>
      </c>
      <c r="EI122" s="56">
        <v>100</v>
      </c>
      <c r="EJ122" s="56">
        <v>171.68</v>
      </c>
      <c r="EK122" s="56">
        <v>151.68</v>
      </c>
      <c r="EL122" s="56">
        <v>100</v>
      </c>
      <c r="EM122" s="56">
        <v>20</v>
      </c>
      <c r="EN122" s="56">
        <v>35</v>
      </c>
      <c r="EO122" s="56">
        <v>40.5</v>
      </c>
    </row>
    <row r="123" spans="1:145" x14ac:dyDescent="0.35">
      <c r="E123" s="13" t="s">
        <v>42</v>
      </c>
      <c r="F123" s="10">
        <v>1</v>
      </c>
      <c r="G123" s="10">
        <v>1</v>
      </c>
      <c r="H123" s="10">
        <v>1</v>
      </c>
      <c r="I123" s="10">
        <v>1</v>
      </c>
      <c r="J123" s="10">
        <v>1</v>
      </c>
      <c r="K123" s="10">
        <v>1</v>
      </c>
      <c r="L123" s="10">
        <v>1</v>
      </c>
      <c r="M123" s="10">
        <v>1</v>
      </c>
      <c r="N123" s="10">
        <v>1</v>
      </c>
      <c r="O123" s="10">
        <v>1</v>
      </c>
      <c r="P123" s="10">
        <v>1</v>
      </c>
      <c r="Q123" s="10">
        <v>1</v>
      </c>
      <c r="R123" s="10">
        <v>1</v>
      </c>
      <c r="S123" s="10">
        <v>1</v>
      </c>
      <c r="T123" s="10">
        <v>1</v>
      </c>
      <c r="U123" s="10">
        <v>1</v>
      </c>
      <c r="V123" s="10">
        <v>1</v>
      </c>
      <c r="W123" s="10">
        <v>1</v>
      </c>
      <c r="X123" s="10">
        <v>1</v>
      </c>
      <c r="Y123" s="10">
        <v>1</v>
      </c>
      <c r="Z123" s="10">
        <v>1</v>
      </c>
      <c r="AA123" s="10">
        <v>1</v>
      </c>
      <c r="AB123" s="10">
        <v>1</v>
      </c>
      <c r="AC123" s="10">
        <v>1</v>
      </c>
      <c r="AE123" s="13" t="s">
        <v>42</v>
      </c>
      <c r="AF123" s="13" t="s">
        <v>61</v>
      </c>
      <c r="AG123" s="15">
        <v>660</v>
      </c>
      <c r="AH123" s="15">
        <v>780.00000000000011</v>
      </c>
      <c r="AI123" s="15">
        <v>720.83154607991275</v>
      </c>
      <c r="AJ123" s="15">
        <v>630</v>
      </c>
      <c r="AK123" s="15">
        <v>750</v>
      </c>
      <c r="AL123" s="15">
        <v>870</v>
      </c>
      <c r="AM123" s="15">
        <v>870</v>
      </c>
      <c r="AN123" s="15">
        <v>750</v>
      </c>
      <c r="AO123" s="15">
        <v>870</v>
      </c>
      <c r="AP123" s="15">
        <v>870</v>
      </c>
      <c r="AQ123" s="15">
        <v>870</v>
      </c>
      <c r="AR123" s="15">
        <v>870</v>
      </c>
      <c r="AS123" s="15">
        <v>870</v>
      </c>
      <c r="AT123" s="15">
        <v>870</v>
      </c>
      <c r="AU123" s="15">
        <v>870</v>
      </c>
      <c r="AV123" s="15">
        <v>870</v>
      </c>
      <c r="AW123" s="15">
        <v>870</v>
      </c>
      <c r="AX123" s="15">
        <v>870</v>
      </c>
      <c r="AY123" s="15">
        <v>870</v>
      </c>
      <c r="AZ123" s="15">
        <v>870</v>
      </c>
      <c r="BA123" s="15">
        <v>870</v>
      </c>
      <c r="BB123" s="15">
        <v>870</v>
      </c>
      <c r="BC123" s="15">
        <v>870</v>
      </c>
      <c r="BD123" s="15">
        <v>870</v>
      </c>
      <c r="BE123" s="9"/>
      <c r="BF123" s="16">
        <v>10</v>
      </c>
      <c r="BG123" s="22">
        <v>708</v>
      </c>
      <c r="BH123" s="19"/>
      <c r="BI123" s="14">
        <v>20</v>
      </c>
      <c r="BJ123" s="22">
        <v>736.56000000000006</v>
      </c>
      <c r="BK123" s="20"/>
      <c r="BL123" s="20"/>
      <c r="BM123" s="20"/>
      <c r="BO123" s="13" t="s">
        <v>42</v>
      </c>
      <c r="BP123" s="13" t="s">
        <v>61</v>
      </c>
      <c r="BQ123" s="15">
        <f>IF(F123=1,Gen!$D11-Sheet1!AG123,0)</f>
        <v>210</v>
      </c>
      <c r="BR123" s="15">
        <f>IF(G123=1,Gen!$D11-Sheet1!AH123,0)</f>
        <v>89.999999999999886</v>
      </c>
      <c r="BS123" s="15">
        <f>IF(H123=1,Gen!$D11-Sheet1!AI123,0)</f>
        <v>149.16845392008725</v>
      </c>
      <c r="BT123" s="15">
        <f>IF(I123=1,Gen!$D11-Sheet1!AJ123,0)</f>
        <v>240</v>
      </c>
      <c r="BU123" s="15">
        <f>IF(J123=1,Gen!$D11-Sheet1!AK123,0)</f>
        <v>120</v>
      </c>
      <c r="BV123" s="15">
        <f>IF(K123=1,Gen!$D11-Sheet1!AL123,0)</f>
        <v>0</v>
      </c>
      <c r="BW123" s="15">
        <f>IF(L123=1,Gen!$D11-Sheet1!AM123,0)</f>
        <v>0</v>
      </c>
      <c r="BX123" s="15">
        <f>IF(M123=1,Gen!$D11-Sheet1!AN123,0)</f>
        <v>120</v>
      </c>
      <c r="BY123" s="15">
        <f>IF(N123=1,Gen!$D11-Sheet1!AO123,0)</f>
        <v>0</v>
      </c>
      <c r="BZ123" s="15">
        <f>IF(O123=1,Gen!$D11-Sheet1!AP123,0)</f>
        <v>0</v>
      </c>
      <c r="CA123" s="15">
        <f>IF(P123=1,Gen!$D11-Sheet1!AQ123,0)</f>
        <v>0</v>
      </c>
      <c r="CB123" s="15">
        <f>IF(Q123=1,Gen!$D11-Sheet1!AR123,0)</f>
        <v>0</v>
      </c>
      <c r="CC123" s="15">
        <f>IF(R123=1,Gen!$D11-Sheet1!AS123,0)</f>
        <v>0</v>
      </c>
      <c r="CD123" s="15">
        <f>IF(S123=1,Gen!$D11-Sheet1!AT123,0)</f>
        <v>0</v>
      </c>
      <c r="CE123" s="15">
        <f>IF(T123=1,Gen!$D11-Sheet1!AU123,0)</f>
        <v>0</v>
      </c>
      <c r="CF123" s="15">
        <f>IF(U123=1,Gen!$D11-Sheet1!AV123,0)</f>
        <v>0</v>
      </c>
      <c r="CG123" s="15">
        <f>IF(V123=1,Gen!$D11-Sheet1!AW123,0)</f>
        <v>0</v>
      </c>
      <c r="CH123" s="15">
        <f>IF(W123=1,Gen!$D11-Sheet1!AX123,0)</f>
        <v>0</v>
      </c>
      <c r="CI123" s="15">
        <f>IF(X123=1,Gen!$D11-Sheet1!AY123,0)</f>
        <v>0</v>
      </c>
      <c r="CJ123" s="15">
        <f>IF(Y123=1,Gen!$D11-Sheet1!AZ123,0)</f>
        <v>0</v>
      </c>
      <c r="CK123" s="15">
        <f>IF(Z123=1,Gen!$D11-Sheet1!BA123,0)</f>
        <v>0</v>
      </c>
      <c r="CL123" s="15">
        <f>IF(AA123=1,Gen!$D11-Sheet1!BB123,0)</f>
        <v>0</v>
      </c>
      <c r="CM123" s="15">
        <f>IF(AB123=1,Gen!$D11-Sheet1!BC123,0)</f>
        <v>0</v>
      </c>
      <c r="CN123" s="15">
        <f>IF(AC123=1,Gen!$D11-Sheet1!BD123,0)</f>
        <v>0</v>
      </c>
      <c r="CP123" s="13" t="s">
        <v>42</v>
      </c>
      <c r="CQ123" s="13" t="s">
        <v>61</v>
      </c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</row>
    <row r="124" spans="1:145" x14ac:dyDescent="0.35">
      <c r="E124" s="13" t="s">
        <v>43</v>
      </c>
      <c r="F124" s="10">
        <v>1</v>
      </c>
      <c r="G124" s="10">
        <v>1</v>
      </c>
      <c r="H124" s="10">
        <v>1</v>
      </c>
      <c r="I124" s="10">
        <v>1</v>
      </c>
      <c r="J124" s="10">
        <v>1</v>
      </c>
      <c r="K124" s="10">
        <v>1</v>
      </c>
      <c r="L124" s="10">
        <v>1</v>
      </c>
      <c r="M124" s="10">
        <v>1</v>
      </c>
      <c r="N124" s="10">
        <v>1</v>
      </c>
      <c r="O124" s="10">
        <v>1</v>
      </c>
      <c r="P124" s="10">
        <v>1</v>
      </c>
      <c r="Q124" s="10">
        <v>1</v>
      </c>
      <c r="R124" s="10">
        <v>1</v>
      </c>
      <c r="S124" s="10">
        <v>1</v>
      </c>
      <c r="T124" s="10">
        <v>1</v>
      </c>
      <c r="U124" s="10">
        <v>1</v>
      </c>
      <c r="V124" s="10">
        <v>1</v>
      </c>
      <c r="W124" s="10">
        <v>1</v>
      </c>
      <c r="X124" s="10">
        <v>1</v>
      </c>
      <c r="Y124" s="10">
        <v>1</v>
      </c>
      <c r="Z124" s="10">
        <v>1</v>
      </c>
      <c r="AA124" s="10">
        <v>1</v>
      </c>
      <c r="AB124" s="10">
        <v>1</v>
      </c>
      <c r="AC124" s="10">
        <v>1</v>
      </c>
      <c r="AE124" s="13" t="s">
        <v>43</v>
      </c>
      <c r="AF124" s="13" t="s">
        <v>69</v>
      </c>
      <c r="AG124" s="15">
        <v>720</v>
      </c>
      <c r="AH124" s="15">
        <v>787.1684539200869</v>
      </c>
      <c r="AI124" s="15">
        <v>667.1684539200869</v>
      </c>
      <c r="AJ124" s="15">
        <v>724.38337122505754</v>
      </c>
      <c r="AK124" s="15">
        <v>720</v>
      </c>
      <c r="AL124" s="15">
        <v>840</v>
      </c>
      <c r="AM124" s="15">
        <v>720</v>
      </c>
      <c r="AN124" s="15">
        <v>840</v>
      </c>
      <c r="AO124" s="15">
        <v>840</v>
      </c>
      <c r="AP124" s="15">
        <v>840</v>
      </c>
      <c r="AQ124" s="15">
        <v>840</v>
      </c>
      <c r="AR124" s="15">
        <v>840</v>
      </c>
      <c r="AS124" s="15">
        <v>840</v>
      </c>
      <c r="AT124" s="15">
        <v>840</v>
      </c>
      <c r="AU124" s="15">
        <v>840</v>
      </c>
      <c r="AV124" s="15">
        <v>840</v>
      </c>
      <c r="AW124" s="15">
        <v>840</v>
      </c>
      <c r="AX124" s="15">
        <v>840</v>
      </c>
      <c r="AY124" s="15">
        <v>840</v>
      </c>
      <c r="AZ124" s="15">
        <v>840</v>
      </c>
      <c r="BA124" s="15">
        <v>840</v>
      </c>
      <c r="BB124" s="15">
        <v>840</v>
      </c>
      <c r="BC124" s="15">
        <v>840</v>
      </c>
      <c r="BD124" s="15">
        <v>840</v>
      </c>
      <c r="BE124" s="9"/>
      <c r="BF124" s="21"/>
      <c r="BH124" s="20"/>
      <c r="BI124" s="20"/>
      <c r="BK124" s="20"/>
      <c r="BL124" s="20"/>
      <c r="BM124" s="20"/>
      <c r="BO124" s="13" t="s">
        <v>43</v>
      </c>
      <c r="BP124" s="13" t="s">
        <v>69</v>
      </c>
      <c r="BQ124" s="15">
        <f>IF(F124=1,Gen!$D12-Sheet1!AG124,0)</f>
        <v>120</v>
      </c>
      <c r="BR124" s="15">
        <f>IF(G124=1,Gen!$D12-Sheet1!AH124,0)</f>
        <v>52.831546079913096</v>
      </c>
      <c r="BS124" s="15">
        <f>IF(H124=1,Gen!$D12-Sheet1!AI124,0)</f>
        <v>172.8315460799131</v>
      </c>
      <c r="BT124" s="15">
        <f>IF(I124=1,Gen!$D12-Sheet1!AJ124,0)</f>
        <v>115.61662877494246</v>
      </c>
      <c r="BU124" s="15">
        <f>IF(J124=1,Gen!$D12-Sheet1!AK124,0)</f>
        <v>120</v>
      </c>
      <c r="BV124" s="15">
        <f>IF(K124=1,Gen!$D12-Sheet1!AL124,0)</f>
        <v>0</v>
      </c>
      <c r="BW124" s="15">
        <f>IF(L124=1,Gen!$D12-Sheet1!AM124,0)</f>
        <v>120</v>
      </c>
      <c r="BX124" s="15">
        <f>IF(M124=1,Gen!$D12-Sheet1!AN124,0)</f>
        <v>0</v>
      </c>
      <c r="BY124" s="15">
        <f>IF(N124=1,Gen!$D12-Sheet1!AO124,0)</f>
        <v>0</v>
      </c>
      <c r="BZ124" s="15">
        <f>IF(O124=1,Gen!$D12-Sheet1!AP124,0)</f>
        <v>0</v>
      </c>
      <c r="CA124" s="15">
        <f>IF(P124=1,Gen!$D12-Sheet1!AQ124,0)</f>
        <v>0</v>
      </c>
      <c r="CB124" s="15">
        <f>IF(Q124=1,Gen!$D12-Sheet1!AR124,0)</f>
        <v>0</v>
      </c>
      <c r="CC124" s="15">
        <f>IF(R124=1,Gen!$D12-Sheet1!AS124,0)</f>
        <v>0</v>
      </c>
      <c r="CD124" s="15">
        <f>IF(S124=1,Gen!$D12-Sheet1!AT124,0)</f>
        <v>0</v>
      </c>
      <c r="CE124" s="15">
        <f>IF(T124=1,Gen!$D12-Sheet1!AU124,0)</f>
        <v>0</v>
      </c>
      <c r="CF124" s="15">
        <f>IF(U124=1,Gen!$D12-Sheet1!AV124,0)</f>
        <v>0</v>
      </c>
      <c r="CG124" s="15">
        <f>IF(V124=1,Gen!$D12-Sheet1!AW124,0)</f>
        <v>0</v>
      </c>
      <c r="CH124" s="15">
        <f>IF(W124=1,Gen!$D12-Sheet1!AX124,0)</f>
        <v>0</v>
      </c>
      <c r="CI124" s="15">
        <f>IF(X124=1,Gen!$D12-Sheet1!AY124,0)</f>
        <v>0</v>
      </c>
      <c r="CJ124" s="15">
        <f>IF(Y124=1,Gen!$D12-Sheet1!AZ124,0)</f>
        <v>0</v>
      </c>
      <c r="CK124" s="15">
        <f>IF(Z124=1,Gen!$D12-Sheet1!BA124,0)</f>
        <v>0</v>
      </c>
      <c r="CL124" s="15">
        <f>IF(AA124=1,Gen!$D12-Sheet1!BB124,0)</f>
        <v>0</v>
      </c>
      <c r="CM124" s="15">
        <f>IF(AB124=1,Gen!$D12-Sheet1!BC124,0)</f>
        <v>0</v>
      </c>
      <c r="CN124" s="15">
        <f>IF(AC124=1,Gen!$D12-Sheet1!BD124,0)</f>
        <v>0</v>
      </c>
      <c r="CP124" s="13" t="s">
        <v>43</v>
      </c>
      <c r="CQ124" s="13" t="s">
        <v>69</v>
      </c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</row>
    <row r="125" spans="1:145" x14ac:dyDescent="0.35">
      <c r="AD125" s="4"/>
      <c r="AE125" t="s">
        <v>131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O125" t="s">
        <v>149</v>
      </c>
      <c r="BQ125" s="4"/>
    </row>
    <row r="126" spans="1:145" x14ac:dyDescent="0.35">
      <c r="AE126" s="62" t="s">
        <v>44</v>
      </c>
      <c r="AF126" s="63"/>
      <c r="AG126" s="66" t="s">
        <v>22</v>
      </c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O126" s="62" t="s">
        <v>44</v>
      </c>
      <c r="BP126" s="63"/>
      <c r="BQ126" s="66" t="s">
        <v>22</v>
      </c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</row>
    <row r="127" spans="1:145" x14ac:dyDescent="0.35">
      <c r="AE127" s="64"/>
      <c r="AF127" s="65"/>
      <c r="AG127" s="14">
        <v>1</v>
      </c>
      <c r="AH127" s="14">
        <v>2</v>
      </c>
      <c r="AI127" s="14">
        <v>3</v>
      </c>
      <c r="AJ127" s="14">
        <v>4</v>
      </c>
      <c r="AK127" s="14">
        <v>5</v>
      </c>
      <c r="AL127" s="14">
        <v>6</v>
      </c>
      <c r="AM127" s="14">
        <v>7</v>
      </c>
      <c r="AN127" s="14">
        <v>8</v>
      </c>
      <c r="AO127" s="14">
        <v>9</v>
      </c>
      <c r="AP127" s="14">
        <v>10</v>
      </c>
      <c r="AQ127" s="14">
        <v>11</v>
      </c>
      <c r="AR127" s="14">
        <v>12</v>
      </c>
      <c r="AS127" s="14">
        <v>13</v>
      </c>
      <c r="AT127" s="14">
        <v>14</v>
      </c>
      <c r="AU127" s="14">
        <v>15</v>
      </c>
      <c r="AV127" s="14">
        <v>16</v>
      </c>
      <c r="AW127" s="14">
        <v>17</v>
      </c>
      <c r="AX127" s="14">
        <v>18</v>
      </c>
      <c r="AY127" s="14">
        <v>19</v>
      </c>
      <c r="AZ127" s="14">
        <v>20</v>
      </c>
      <c r="BA127" s="14">
        <v>21</v>
      </c>
      <c r="BB127" s="14">
        <v>22</v>
      </c>
      <c r="BC127" s="14">
        <v>23</v>
      </c>
      <c r="BD127" s="14">
        <v>24</v>
      </c>
      <c r="BO127" s="64"/>
      <c r="BP127" s="65"/>
      <c r="BQ127" s="14">
        <v>1</v>
      </c>
      <c r="BR127" s="14">
        <v>2</v>
      </c>
      <c r="BS127" s="14">
        <v>3</v>
      </c>
      <c r="BT127" s="14">
        <v>4</v>
      </c>
      <c r="BU127" s="14">
        <v>5</v>
      </c>
      <c r="BV127" s="14">
        <v>6</v>
      </c>
      <c r="BW127" s="14">
        <v>7</v>
      </c>
      <c r="BX127" s="14">
        <v>8</v>
      </c>
      <c r="BY127" s="14">
        <v>9</v>
      </c>
      <c r="BZ127" s="14">
        <v>10</v>
      </c>
      <c r="CA127" s="14">
        <v>11</v>
      </c>
      <c r="CB127" s="14">
        <v>12</v>
      </c>
      <c r="CC127" s="14">
        <v>13</v>
      </c>
      <c r="CD127" s="14">
        <v>14</v>
      </c>
      <c r="CE127" s="14">
        <v>15</v>
      </c>
      <c r="CF127" s="14">
        <v>16</v>
      </c>
      <c r="CG127" s="14">
        <v>17</v>
      </c>
      <c r="CH127" s="14">
        <v>18</v>
      </c>
      <c r="CI127" s="14">
        <v>19</v>
      </c>
      <c r="CJ127" s="14">
        <v>20</v>
      </c>
      <c r="CK127" s="14">
        <v>21</v>
      </c>
      <c r="CL127" s="14">
        <v>22</v>
      </c>
      <c r="CM127" s="14">
        <v>23</v>
      </c>
      <c r="CN127" s="14">
        <v>24</v>
      </c>
    </row>
    <row r="128" spans="1:145" x14ac:dyDescent="0.35">
      <c r="AE128" s="13" t="s">
        <v>34</v>
      </c>
      <c r="AF128" s="13" t="s">
        <v>60</v>
      </c>
      <c r="AG128" s="15">
        <v>1176</v>
      </c>
      <c r="AH128" s="15">
        <v>1176</v>
      </c>
      <c r="AI128" s="15">
        <v>1176</v>
      </c>
      <c r="AJ128" s="15">
        <v>1176</v>
      </c>
      <c r="AK128" s="15">
        <v>1176</v>
      </c>
      <c r="AL128" s="15">
        <v>1176</v>
      </c>
      <c r="AM128" s="15">
        <v>1176</v>
      </c>
      <c r="AN128" s="15">
        <v>1155.69</v>
      </c>
      <c r="AO128" s="15">
        <v>1176</v>
      </c>
      <c r="AP128" s="15">
        <v>1176</v>
      </c>
      <c r="AQ128" s="15">
        <v>1176</v>
      </c>
      <c r="AR128" s="15">
        <v>1176</v>
      </c>
      <c r="AS128" s="15">
        <v>1176</v>
      </c>
      <c r="AT128" s="15">
        <v>1176</v>
      </c>
      <c r="AU128" s="15">
        <v>1176</v>
      </c>
      <c r="AV128" s="15">
        <v>1176</v>
      </c>
      <c r="AW128" s="15">
        <v>1176</v>
      </c>
      <c r="AX128" s="15">
        <v>1176</v>
      </c>
      <c r="AY128" s="15">
        <v>1176</v>
      </c>
      <c r="AZ128" s="15">
        <v>1176</v>
      </c>
      <c r="BA128" s="15">
        <v>1176</v>
      </c>
      <c r="BB128" s="15">
        <v>1176</v>
      </c>
      <c r="BC128" s="15">
        <v>1176</v>
      </c>
      <c r="BD128" s="15">
        <v>1176</v>
      </c>
      <c r="BO128" s="13" t="s">
        <v>34</v>
      </c>
      <c r="BP128" s="13" t="s">
        <v>60</v>
      </c>
      <c r="BQ128" s="15">
        <f>IF(F115=1,Gen!$D3-Sheet1!AG128,0)</f>
        <v>0</v>
      </c>
      <c r="BR128" s="15">
        <f>IF(G115=1,Gen!$D3-Sheet1!AH128,0)</f>
        <v>0</v>
      </c>
      <c r="BS128" s="15">
        <f>IF(H115=1,Gen!$D3-Sheet1!AI128,0)</f>
        <v>0</v>
      </c>
      <c r="BT128" s="15">
        <f>IF(I115=1,Gen!$D3-Sheet1!AJ128,0)</f>
        <v>0</v>
      </c>
      <c r="BU128" s="15">
        <f>IF(J115=1,Gen!$D3-Sheet1!AK128,0)</f>
        <v>0</v>
      </c>
      <c r="BV128" s="15">
        <f>IF(K115=1,Gen!$D3-Sheet1!AL128,0)</f>
        <v>0</v>
      </c>
      <c r="BW128" s="15">
        <f>IF(L115=1,Gen!$D3-Sheet1!AM128,0)</f>
        <v>0</v>
      </c>
      <c r="BX128" s="15">
        <f>IF(M115=1,Gen!$D3-Sheet1!AN128,0)</f>
        <v>20.309999999999945</v>
      </c>
      <c r="BY128" s="15">
        <f>IF(N115=1,Gen!$D3-Sheet1!AO128,0)</f>
        <v>0</v>
      </c>
      <c r="BZ128" s="15">
        <f>IF(O115=1,Gen!$D3-Sheet1!AP128,0)</f>
        <v>0</v>
      </c>
      <c r="CA128" s="15">
        <f>IF(P115=1,Gen!$D3-Sheet1!AQ128,0)</f>
        <v>0</v>
      </c>
      <c r="CB128" s="15">
        <f>IF(Q115=1,Gen!$D3-Sheet1!AR128,0)</f>
        <v>0</v>
      </c>
      <c r="CC128" s="15">
        <f>IF(R115=1,Gen!$D3-Sheet1!AS128,0)</f>
        <v>0</v>
      </c>
      <c r="CD128" s="15">
        <f>IF(S115=1,Gen!$D3-Sheet1!AT128,0)</f>
        <v>0</v>
      </c>
      <c r="CE128" s="15">
        <f>IF(T115=1,Gen!$D3-Sheet1!AU128,0)</f>
        <v>0</v>
      </c>
      <c r="CF128" s="15">
        <f>IF(U115=1,Gen!$D3-Sheet1!AV128,0)</f>
        <v>0</v>
      </c>
      <c r="CG128" s="15">
        <f>IF(V115=1,Gen!$D3-Sheet1!AW128,0)</f>
        <v>0</v>
      </c>
      <c r="CH128" s="15">
        <f>IF(W115=1,Gen!$D3-Sheet1!AX128,0)</f>
        <v>0</v>
      </c>
      <c r="CI128" s="15">
        <f>IF(X115=1,Gen!$D3-Sheet1!AY128,0)</f>
        <v>0</v>
      </c>
      <c r="CJ128" s="15">
        <f>IF(Y115=1,Gen!$D3-Sheet1!AZ128,0)</f>
        <v>0</v>
      </c>
      <c r="CK128" s="15">
        <f>IF(Z115=1,Gen!$D3-Sheet1!BA128,0)</f>
        <v>0</v>
      </c>
      <c r="CL128" s="15">
        <f>IF(AA115=1,Gen!$D3-Sheet1!BB128,0)</f>
        <v>0</v>
      </c>
      <c r="CM128" s="15">
        <f>IF(AB115=1,Gen!$D3-Sheet1!BC128,0)</f>
        <v>0</v>
      </c>
      <c r="CN128" s="15">
        <f>IF(AC115=1,Gen!$D3-Sheet1!BD128,0)</f>
        <v>0</v>
      </c>
      <c r="EE128" s="57"/>
    </row>
    <row r="129" spans="5:145" x14ac:dyDescent="0.35">
      <c r="AE129" s="13" t="s">
        <v>35</v>
      </c>
      <c r="AF129" s="13" t="s">
        <v>62</v>
      </c>
      <c r="AG129" s="15">
        <v>379.18</v>
      </c>
      <c r="AH129" s="15">
        <v>340</v>
      </c>
      <c r="AI129" s="15">
        <v>340</v>
      </c>
      <c r="AJ129" s="15">
        <v>340</v>
      </c>
      <c r="AK129" s="15">
        <v>340</v>
      </c>
      <c r="AL129" s="15">
        <v>340</v>
      </c>
      <c r="AM129" s="15">
        <v>340</v>
      </c>
      <c r="AN129" s="15">
        <v>340</v>
      </c>
      <c r="AO129" s="15">
        <v>365.49</v>
      </c>
      <c r="AP129" s="15">
        <v>665.49</v>
      </c>
      <c r="AQ129" s="15">
        <v>394.4</v>
      </c>
      <c r="AR129" s="15">
        <v>694.4</v>
      </c>
      <c r="AS129" s="15">
        <v>394.4</v>
      </c>
      <c r="AT129" s="15">
        <v>694.4</v>
      </c>
      <c r="AU129" s="15">
        <v>537.42999999999995</v>
      </c>
      <c r="AV129" s="15">
        <v>340</v>
      </c>
      <c r="AW129" s="15">
        <v>340</v>
      </c>
      <c r="AX129" s="15">
        <v>340</v>
      </c>
      <c r="AY129" s="15">
        <v>551.55999999999995</v>
      </c>
      <c r="AZ129" s="15">
        <v>340</v>
      </c>
      <c r="BA129" s="15">
        <v>622.6</v>
      </c>
      <c r="BB129" s="15">
        <v>404.3</v>
      </c>
      <c r="BC129" s="15">
        <v>613.52</v>
      </c>
      <c r="BD129" s="15">
        <v>396.76</v>
      </c>
      <c r="BO129" s="13" t="s">
        <v>35</v>
      </c>
      <c r="BP129" s="13" t="s">
        <v>62</v>
      </c>
      <c r="BQ129" s="15">
        <f>IF(F116=1,Gen!$D4-Sheet1!AG129,0)</f>
        <v>745.81999999999994</v>
      </c>
      <c r="BR129" s="15">
        <f>IF(G116=1,Gen!$D4-Sheet1!AH129,0)</f>
        <v>785</v>
      </c>
      <c r="BS129" s="15">
        <f>IF(H116=1,Gen!$D4-Sheet1!AI129,0)</f>
        <v>785</v>
      </c>
      <c r="BT129" s="15">
        <f>IF(I116=1,Gen!$D4-Sheet1!AJ129,0)</f>
        <v>785</v>
      </c>
      <c r="BU129" s="15">
        <f>IF(J116=1,Gen!$D4-Sheet1!AK129,0)</f>
        <v>785</v>
      </c>
      <c r="BV129" s="15">
        <f>IF(K116=1,Gen!$D4-Sheet1!AL129,0)</f>
        <v>785</v>
      </c>
      <c r="BW129" s="15">
        <f>IF(L116=1,Gen!$D4-Sheet1!AM129,0)</f>
        <v>785</v>
      </c>
      <c r="BX129" s="15">
        <f>IF(M116=1,Gen!$D4-Sheet1!AN129,0)</f>
        <v>785</v>
      </c>
      <c r="BY129" s="15">
        <f>IF(N116=1,Gen!$D4-Sheet1!AO129,0)</f>
        <v>759.51</v>
      </c>
      <c r="BZ129" s="15">
        <f>IF(O116=1,Gen!$D4-Sheet1!AP129,0)</f>
        <v>459.51</v>
      </c>
      <c r="CA129" s="15">
        <f>IF(P116=1,Gen!$D4-Sheet1!AQ129,0)</f>
        <v>730.6</v>
      </c>
      <c r="CB129" s="15">
        <f>IF(Q116=1,Gen!$D4-Sheet1!AR129,0)</f>
        <v>430.6</v>
      </c>
      <c r="CC129" s="15">
        <f>IF(R116=1,Gen!$D4-Sheet1!AS129,0)</f>
        <v>730.6</v>
      </c>
      <c r="CD129" s="15">
        <f>IF(S116=1,Gen!$D4-Sheet1!AT129,0)</f>
        <v>430.6</v>
      </c>
      <c r="CE129" s="15">
        <f>IF(T116=1,Gen!$D4-Sheet1!AU129,0)</f>
        <v>587.57000000000005</v>
      </c>
      <c r="CF129" s="15">
        <f>IF(U116=1,Gen!$D4-Sheet1!AV129,0)</f>
        <v>785</v>
      </c>
      <c r="CG129" s="15">
        <f>IF(V116=1,Gen!$D4-Sheet1!AW129,0)</f>
        <v>785</v>
      </c>
      <c r="CH129" s="15">
        <f>IF(W116=1,Gen!$D4-Sheet1!AX129,0)</f>
        <v>785</v>
      </c>
      <c r="CI129" s="15">
        <f>IF(X116=1,Gen!$D4-Sheet1!AY129,0)</f>
        <v>573.44000000000005</v>
      </c>
      <c r="CJ129" s="15">
        <f>IF(Y116=1,Gen!$D4-Sheet1!AZ129,0)</f>
        <v>785</v>
      </c>
      <c r="CK129" s="15">
        <f>IF(Z116=1,Gen!$D4-Sheet1!BA129,0)</f>
        <v>502.4</v>
      </c>
      <c r="CL129" s="15">
        <f>IF(AA116=1,Gen!$D4-Sheet1!BB129,0)</f>
        <v>720.7</v>
      </c>
      <c r="CM129" s="15">
        <f>IF(AB116=1,Gen!$D4-Sheet1!BC129,0)</f>
        <v>511.48</v>
      </c>
      <c r="CN129" s="15">
        <f>IF(AC116=1,Gen!$D4-Sheet1!BD129,0)</f>
        <v>728.24</v>
      </c>
    </row>
    <row r="130" spans="5:145" x14ac:dyDescent="0.35">
      <c r="AE130" s="13" t="s">
        <v>36</v>
      </c>
      <c r="AF130" s="13" t="s">
        <v>63</v>
      </c>
      <c r="AG130" s="15">
        <v>720</v>
      </c>
      <c r="AH130" s="15">
        <v>840</v>
      </c>
      <c r="AI130" s="15">
        <v>876.03</v>
      </c>
      <c r="AJ130" s="15">
        <v>969</v>
      </c>
      <c r="AK130" s="15">
        <v>861.86</v>
      </c>
      <c r="AL130" s="15">
        <v>969</v>
      </c>
      <c r="AM130" s="15">
        <v>969</v>
      </c>
      <c r="AN130" s="15">
        <v>969</v>
      </c>
      <c r="AO130" s="15">
        <v>969</v>
      </c>
      <c r="AP130" s="15">
        <v>969</v>
      </c>
      <c r="AQ130" s="15">
        <v>969</v>
      </c>
      <c r="AR130" s="15">
        <v>969</v>
      </c>
      <c r="AS130" s="15">
        <v>969</v>
      </c>
      <c r="AT130" s="15">
        <v>969</v>
      </c>
      <c r="AU130" s="15">
        <v>969</v>
      </c>
      <c r="AV130" s="15">
        <v>969</v>
      </c>
      <c r="AW130" s="15">
        <v>969</v>
      </c>
      <c r="AX130" s="15">
        <v>969</v>
      </c>
      <c r="AY130" s="15">
        <v>969</v>
      </c>
      <c r="AZ130" s="15">
        <v>969</v>
      </c>
      <c r="BA130" s="15">
        <v>969</v>
      </c>
      <c r="BB130" s="15">
        <v>969</v>
      </c>
      <c r="BC130" s="15">
        <v>969</v>
      </c>
      <c r="BD130" s="15">
        <v>969</v>
      </c>
      <c r="BO130" s="13" t="s">
        <v>36</v>
      </c>
      <c r="BP130" s="13" t="s">
        <v>63</v>
      </c>
      <c r="BQ130" s="15">
        <f>IF(F117=1,Gen!$D5-Sheet1!AG130,0)</f>
        <v>249</v>
      </c>
      <c r="BR130" s="15">
        <f>IF(G117=1,Gen!$D5-Sheet1!AH130,0)</f>
        <v>129</v>
      </c>
      <c r="BS130" s="15">
        <f>IF(H117=1,Gen!$D5-Sheet1!AI130,0)</f>
        <v>92.970000000000027</v>
      </c>
      <c r="BT130" s="15">
        <f>IF(I117=1,Gen!$D5-Sheet1!AJ130,0)</f>
        <v>0</v>
      </c>
      <c r="BU130" s="15">
        <f>IF(J117=1,Gen!$D5-Sheet1!AK130,0)</f>
        <v>107.13999999999999</v>
      </c>
      <c r="BV130" s="15">
        <f>IF(K117=1,Gen!$D5-Sheet1!AL130,0)</f>
        <v>0</v>
      </c>
      <c r="BW130" s="15">
        <f>IF(L117=1,Gen!$D5-Sheet1!AM130,0)</f>
        <v>0</v>
      </c>
      <c r="BX130" s="15">
        <f>IF(M117=1,Gen!$D5-Sheet1!AN130,0)</f>
        <v>0</v>
      </c>
      <c r="BY130" s="15">
        <f>IF(N117=1,Gen!$D5-Sheet1!AO130,0)</f>
        <v>0</v>
      </c>
      <c r="BZ130" s="15">
        <f>IF(O117=1,Gen!$D5-Sheet1!AP130,0)</f>
        <v>0</v>
      </c>
      <c r="CA130" s="15">
        <f>IF(P117=1,Gen!$D5-Sheet1!AQ130,0)</f>
        <v>0</v>
      </c>
      <c r="CB130" s="15">
        <f>IF(Q117=1,Gen!$D5-Sheet1!AR130,0)</f>
        <v>0</v>
      </c>
      <c r="CC130" s="15">
        <f>IF(R117=1,Gen!$D5-Sheet1!AS130,0)</f>
        <v>0</v>
      </c>
      <c r="CD130" s="15">
        <f>IF(S117=1,Gen!$D5-Sheet1!AT130,0)</f>
        <v>0</v>
      </c>
      <c r="CE130" s="15">
        <f>IF(T117=1,Gen!$D5-Sheet1!AU130,0)</f>
        <v>0</v>
      </c>
      <c r="CF130" s="15">
        <f>IF(U117=1,Gen!$D5-Sheet1!AV130,0)</f>
        <v>0</v>
      </c>
      <c r="CG130" s="15">
        <f>IF(V117=1,Gen!$D5-Sheet1!AW130,0)</f>
        <v>0</v>
      </c>
      <c r="CH130" s="15">
        <f>IF(W117=1,Gen!$D5-Sheet1!AX130,0)</f>
        <v>0</v>
      </c>
      <c r="CI130" s="15">
        <f>IF(X117=1,Gen!$D5-Sheet1!AY130,0)</f>
        <v>0</v>
      </c>
      <c r="CJ130" s="15">
        <f>IF(Y117=1,Gen!$D5-Sheet1!AZ130,0)</f>
        <v>0</v>
      </c>
      <c r="CK130" s="15">
        <f>IF(Z117=1,Gen!$D5-Sheet1!BA130,0)</f>
        <v>0</v>
      </c>
      <c r="CL130" s="15">
        <f>IF(AA117=1,Gen!$D5-Sheet1!BB130,0)</f>
        <v>0</v>
      </c>
      <c r="CM130" s="15">
        <f>IF(AB117=1,Gen!$D5-Sheet1!BC130,0)</f>
        <v>0</v>
      </c>
      <c r="CN130" s="15">
        <f>IF(AC117=1,Gen!$D5-Sheet1!BD130,0)</f>
        <v>0</v>
      </c>
    </row>
    <row r="131" spans="5:145" x14ac:dyDescent="0.35">
      <c r="AE131" s="13" t="s">
        <v>37</v>
      </c>
      <c r="AF131" s="13" t="s">
        <v>64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5">
        <v>0</v>
      </c>
      <c r="AP131" s="15">
        <v>0</v>
      </c>
      <c r="AQ131" s="15">
        <v>85</v>
      </c>
      <c r="AR131" s="15">
        <v>85</v>
      </c>
      <c r="AS131" s="15">
        <v>85</v>
      </c>
      <c r="AT131" s="15">
        <v>85</v>
      </c>
      <c r="AU131" s="15">
        <v>85</v>
      </c>
      <c r="AV131" s="15">
        <v>85</v>
      </c>
      <c r="AW131" s="15">
        <v>85</v>
      </c>
      <c r="AX131" s="15">
        <v>85</v>
      </c>
      <c r="AY131" s="15">
        <v>85</v>
      </c>
      <c r="AZ131" s="15">
        <v>85</v>
      </c>
      <c r="BA131" s="15">
        <v>85</v>
      </c>
      <c r="BB131" s="15">
        <v>85</v>
      </c>
      <c r="BC131" s="15">
        <v>0</v>
      </c>
      <c r="BD131" s="15">
        <v>0</v>
      </c>
      <c r="BO131" s="13" t="s">
        <v>37</v>
      </c>
      <c r="BP131" s="13" t="s">
        <v>64</v>
      </c>
      <c r="BQ131" s="15">
        <f>IF(F118=1,Gen!$D6-Sheet1!AG131,0)</f>
        <v>0</v>
      </c>
      <c r="BR131" s="15">
        <f>IF(G118=1,Gen!$D6-Sheet1!AH131,0)</f>
        <v>0</v>
      </c>
      <c r="BS131" s="15">
        <f>IF(H118=1,Gen!$D6-Sheet1!AI131,0)</f>
        <v>0</v>
      </c>
      <c r="BT131" s="15">
        <f>IF(I118=1,Gen!$D6-Sheet1!AJ131,0)</f>
        <v>0</v>
      </c>
      <c r="BU131" s="15">
        <f>IF(J118=1,Gen!$D6-Sheet1!AK131,0)</f>
        <v>0</v>
      </c>
      <c r="BV131" s="15">
        <f>IF(K118=1,Gen!$D6-Sheet1!AL131,0)</f>
        <v>0</v>
      </c>
      <c r="BW131" s="15">
        <f>IF(L118=1,Gen!$D6-Sheet1!AM131,0)</f>
        <v>0</v>
      </c>
      <c r="BX131" s="15">
        <f>IF(M118=1,Gen!$D6-Sheet1!AN131,0)</f>
        <v>0</v>
      </c>
      <c r="BY131" s="15">
        <f>IF(N118=1,Gen!$D6-Sheet1!AO131,0)</f>
        <v>0</v>
      </c>
      <c r="BZ131" s="15">
        <f>IF(O118=1,Gen!$D6-Sheet1!AP131,0)</f>
        <v>0</v>
      </c>
      <c r="CA131" s="15">
        <f>IF(P118=1,Gen!$D6-Sheet1!AQ131,0)</f>
        <v>45</v>
      </c>
      <c r="CB131" s="15">
        <f>IF(Q118=1,Gen!$D6-Sheet1!AR131,0)</f>
        <v>45</v>
      </c>
      <c r="CC131" s="15">
        <f>IF(R118=1,Gen!$D6-Sheet1!AS131,0)</f>
        <v>45</v>
      </c>
      <c r="CD131" s="15">
        <f>IF(S118=1,Gen!$D6-Sheet1!AT131,0)</f>
        <v>45</v>
      </c>
      <c r="CE131" s="15">
        <f>IF(T118=1,Gen!$D6-Sheet1!AU131,0)</f>
        <v>45</v>
      </c>
      <c r="CF131" s="15">
        <f>IF(U118=1,Gen!$D6-Sheet1!AV131,0)</f>
        <v>45</v>
      </c>
      <c r="CG131" s="15">
        <f>IF(V118=1,Gen!$D6-Sheet1!AW131,0)</f>
        <v>45</v>
      </c>
      <c r="CH131" s="15">
        <f>IF(W118=1,Gen!$D6-Sheet1!AX131,0)</f>
        <v>45</v>
      </c>
      <c r="CI131" s="15">
        <f>IF(X118=1,Gen!$D6-Sheet1!AY131,0)</f>
        <v>45</v>
      </c>
      <c r="CJ131" s="15">
        <f>IF(Y118=1,Gen!$D6-Sheet1!AZ131,0)</f>
        <v>45</v>
      </c>
      <c r="CK131" s="15">
        <f>IF(Z118=1,Gen!$D6-Sheet1!BA131,0)</f>
        <v>45</v>
      </c>
      <c r="CL131" s="15">
        <f>IF(AA118=1,Gen!$D6-Sheet1!BB131,0)</f>
        <v>45</v>
      </c>
      <c r="CM131" s="15">
        <f>IF(AB118=1,Gen!$D6-Sheet1!BC131,0)</f>
        <v>0</v>
      </c>
      <c r="CN131" s="15">
        <f>IF(AC118=1,Gen!$D6-Sheet1!BD131,0)</f>
        <v>0</v>
      </c>
    </row>
    <row r="132" spans="5:145" x14ac:dyDescent="0.35">
      <c r="AE132" s="13" t="s">
        <v>38</v>
      </c>
      <c r="AF132" s="13" t="s">
        <v>65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66</v>
      </c>
      <c r="AZ132" s="15">
        <v>66</v>
      </c>
      <c r="BA132" s="15">
        <v>0</v>
      </c>
      <c r="BB132" s="15">
        <v>0</v>
      </c>
      <c r="BC132" s="15">
        <v>0</v>
      </c>
      <c r="BD132" s="15">
        <v>0</v>
      </c>
      <c r="BO132" s="13" t="s">
        <v>38</v>
      </c>
      <c r="BP132" s="13" t="s">
        <v>65</v>
      </c>
      <c r="BQ132" s="15">
        <f>IF(F119=1,Gen!$D7-Sheet1!AG132,0)</f>
        <v>0</v>
      </c>
      <c r="BR132" s="15">
        <f>IF(G119=1,Gen!$D7-Sheet1!AH132,0)</f>
        <v>0</v>
      </c>
      <c r="BS132" s="15">
        <f>IF(H119=1,Gen!$D7-Sheet1!AI132,0)</f>
        <v>0</v>
      </c>
      <c r="BT132" s="15">
        <f>IF(I119=1,Gen!$D7-Sheet1!AJ132,0)</f>
        <v>0</v>
      </c>
      <c r="BU132" s="15">
        <f>IF(J119=1,Gen!$D7-Sheet1!AK132,0)</f>
        <v>0</v>
      </c>
      <c r="BV132" s="15">
        <f>IF(K119=1,Gen!$D7-Sheet1!AL132,0)</f>
        <v>0</v>
      </c>
      <c r="BW132" s="15">
        <f>IF(L119=1,Gen!$D7-Sheet1!AM132,0)</f>
        <v>0</v>
      </c>
      <c r="BX132" s="15">
        <f>IF(M119=1,Gen!$D7-Sheet1!AN132,0)</f>
        <v>0</v>
      </c>
      <c r="BY132" s="15">
        <f>IF(N119=1,Gen!$D7-Sheet1!AO132,0)</f>
        <v>0</v>
      </c>
      <c r="BZ132" s="15">
        <f>IF(O119=1,Gen!$D7-Sheet1!AP132,0)</f>
        <v>0</v>
      </c>
      <c r="CA132" s="15">
        <f>IF(P119=1,Gen!$D7-Sheet1!AQ132,0)</f>
        <v>0</v>
      </c>
      <c r="CB132" s="15">
        <f>IF(Q119=1,Gen!$D7-Sheet1!AR132,0)</f>
        <v>0</v>
      </c>
      <c r="CC132" s="15">
        <f>IF(R119=1,Gen!$D7-Sheet1!AS132,0)</f>
        <v>0</v>
      </c>
      <c r="CD132" s="15">
        <f>IF(S119=1,Gen!$D7-Sheet1!AT132,0)</f>
        <v>0</v>
      </c>
      <c r="CE132" s="15">
        <f>IF(T119=1,Gen!$D7-Sheet1!AU132,0)</f>
        <v>0</v>
      </c>
      <c r="CF132" s="15">
        <f>IF(U119=1,Gen!$D7-Sheet1!AV132,0)</f>
        <v>0</v>
      </c>
      <c r="CG132" s="15">
        <f>IF(V119=1,Gen!$D7-Sheet1!AW132,0)</f>
        <v>0</v>
      </c>
      <c r="CH132" s="15">
        <f>IF(W119=1,Gen!$D7-Sheet1!AX132,0)</f>
        <v>0</v>
      </c>
      <c r="CI132" s="15">
        <f>IF(X119=1,Gen!$D7-Sheet1!AY132,0)</f>
        <v>42</v>
      </c>
      <c r="CJ132" s="15">
        <f>IF(Y119=1,Gen!$D7-Sheet1!AZ132,0)</f>
        <v>42</v>
      </c>
      <c r="CK132" s="15">
        <f>IF(Z119=1,Gen!$D7-Sheet1!BA132,0)</f>
        <v>0</v>
      </c>
      <c r="CL132" s="15">
        <f>IF(AA119=1,Gen!$D7-Sheet1!BB132,0)</f>
        <v>0</v>
      </c>
      <c r="CM132" s="15">
        <f>IF(AB119=1,Gen!$D7-Sheet1!BC132,0)</f>
        <v>0</v>
      </c>
      <c r="CN132" s="15">
        <f>IF(AC119=1,Gen!$D7-Sheet1!BD132,0)</f>
        <v>0</v>
      </c>
    </row>
    <row r="133" spans="5:145" x14ac:dyDescent="0.35">
      <c r="AE133" s="13" t="s">
        <v>39</v>
      </c>
      <c r="AF133" s="13" t="s">
        <v>66</v>
      </c>
      <c r="AG133" s="15">
        <v>550</v>
      </c>
      <c r="AH133" s="15">
        <v>250</v>
      </c>
      <c r="AI133" s="15">
        <v>250</v>
      </c>
      <c r="AJ133" s="15">
        <v>250</v>
      </c>
      <c r="AK133" s="15">
        <v>250</v>
      </c>
      <c r="AL133" s="15">
        <v>250</v>
      </c>
      <c r="AM133" s="15">
        <v>250</v>
      </c>
      <c r="AN133" s="15">
        <v>250</v>
      </c>
      <c r="AO133" s="15">
        <v>310.97000000000003</v>
      </c>
      <c r="AP133" s="15">
        <v>326.58</v>
      </c>
      <c r="AQ133" s="15">
        <v>626.58000000000004</v>
      </c>
      <c r="AR133" s="15">
        <v>337.72</v>
      </c>
      <c r="AS133" s="15">
        <v>527.17999999999995</v>
      </c>
      <c r="AT133" s="15">
        <v>250</v>
      </c>
      <c r="AU133" s="15">
        <v>550</v>
      </c>
      <c r="AV133" s="15">
        <v>749</v>
      </c>
      <c r="AW133" s="15">
        <v>720.45</v>
      </c>
      <c r="AX133" s="15">
        <v>700.56</v>
      </c>
      <c r="AY133" s="15">
        <v>466.4</v>
      </c>
      <c r="AZ133" s="15">
        <v>766.4</v>
      </c>
      <c r="BA133" s="15">
        <v>466.4</v>
      </c>
      <c r="BB133" s="15">
        <v>550</v>
      </c>
      <c r="BC133" s="15">
        <v>250</v>
      </c>
      <c r="BD133" s="15">
        <v>250</v>
      </c>
      <c r="BO133" s="13" t="s">
        <v>39</v>
      </c>
      <c r="BP133" s="13" t="s">
        <v>66</v>
      </c>
      <c r="BQ133" s="15">
        <f>IF(F120=1,Gen!$D8-Sheet1!AG133,0)</f>
        <v>545</v>
      </c>
      <c r="BR133" s="15">
        <f>IF(G120=1,Gen!$D8-Sheet1!AH133,0)</f>
        <v>845</v>
      </c>
      <c r="BS133" s="15">
        <f>IF(H120=1,Gen!$D8-Sheet1!AI133,0)</f>
        <v>845</v>
      </c>
      <c r="BT133" s="15">
        <f>IF(I120=1,Gen!$D8-Sheet1!AJ133,0)</f>
        <v>845</v>
      </c>
      <c r="BU133" s="15">
        <f>IF(J120=1,Gen!$D8-Sheet1!AK133,0)</f>
        <v>845</v>
      </c>
      <c r="BV133" s="15">
        <f>IF(K120=1,Gen!$D8-Sheet1!AL133,0)</f>
        <v>845</v>
      </c>
      <c r="BW133" s="15">
        <f>IF(L120=1,Gen!$D8-Sheet1!AM133,0)</f>
        <v>845</v>
      </c>
      <c r="BX133" s="15">
        <f>IF(M120=1,Gen!$D8-Sheet1!AN133,0)</f>
        <v>845</v>
      </c>
      <c r="BY133" s="15">
        <f>IF(N120=1,Gen!$D8-Sheet1!AO133,0)</f>
        <v>784.03</v>
      </c>
      <c r="BZ133" s="15">
        <f>IF(O120=1,Gen!$D8-Sheet1!AP133,0)</f>
        <v>768.42000000000007</v>
      </c>
      <c r="CA133" s="15">
        <f>IF(P120=1,Gen!$D8-Sheet1!AQ133,0)</f>
        <v>468.41999999999996</v>
      </c>
      <c r="CB133" s="15">
        <f>IF(Q120=1,Gen!$D8-Sheet1!AR133,0)</f>
        <v>757.28</v>
      </c>
      <c r="CC133" s="15">
        <f>IF(R120=1,Gen!$D8-Sheet1!AS133,0)</f>
        <v>567.82000000000005</v>
      </c>
      <c r="CD133" s="15">
        <f>IF(S120=1,Gen!$D8-Sheet1!AT133,0)</f>
        <v>845</v>
      </c>
      <c r="CE133" s="15">
        <f>IF(T120=1,Gen!$D8-Sheet1!AU133,0)</f>
        <v>545</v>
      </c>
      <c r="CF133" s="15">
        <f>IF(U120=1,Gen!$D8-Sheet1!AV133,0)</f>
        <v>346</v>
      </c>
      <c r="CG133" s="15">
        <f>IF(V120=1,Gen!$D8-Sheet1!AW133,0)</f>
        <v>374.54999999999995</v>
      </c>
      <c r="CH133" s="15">
        <f>IF(W120=1,Gen!$D8-Sheet1!AX133,0)</f>
        <v>394.44000000000005</v>
      </c>
      <c r="CI133" s="15">
        <f>IF(X120=1,Gen!$D8-Sheet1!AY133,0)</f>
        <v>628.6</v>
      </c>
      <c r="CJ133" s="15">
        <f>IF(Y120=1,Gen!$D8-Sheet1!AZ133,0)</f>
        <v>328.6</v>
      </c>
      <c r="CK133" s="15">
        <f>IF(Z120=1,Gen!$D8-Sheet1!BA133,0)</f>
        <v>628.6</v>
      </c>
      <c r="CL133" s="15">
        <f>IF(AA120=1,Gen!$D8-Sheet1!BB133,0)</f>
        <v>545</v>
      </c>
      <c r="CM133" s="15">
        <f>IF(AB120=1,Gen!$D8-Sheet1!BC133,0)</f>
        <v>845</v>
      </c>
      <c r="CN133" s="15">
        <f>IF(AC120=1,Gen!$D8-Sheet1!BD133,0)</f>
        <v>845</v>
      </c>
    </row>
    <row r="134" spans="5:145" x14ac:dyDescent="0.35">
      <c r="AE134" s="13" t="s">
        <v>40</v>
      </c>
      <c r="AF134" s="13" t="s">
        <v>67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5">
        <v>0</v>
      </c>
      <c r="AP134" s="15">
        <v>0</v>
      </c>
      <c r="AQ134" s="15">
        <v>0</v>
      </c>
      <c r="AR134" s="15">
        <v>0</v>
      </c>
      <c r="AS134" s="15">
        <v>0</v>
      </c>
      <c r="AT134" s="15">
        <v>0</v>
      </c>
      <c r="AU134" s="15">
        <v>0</v>
      </c>
      <c r="AV134" s="15">
        <v>0</v>
      </c>
      <c r="AW134" s="15">
        <v>0</v>
      </c>
      <c r="AX134" s="15">
        <v>0</v>
      </c>
      <c r="AY134" s="15">
        <v>0</v>
      </c>
      <c r="AZ134" s="15">
        <v>0</v>
      </c>
      <c r="BA134" s="15">
        <v>0</v>
      </c>
      <c r="BB134" s="15">
        <v>0</v>
      </c>
      <c r="BC134" s="15">
        <v>0</v>
      </c>
      <c r="BD134" s="15">
        <v>0</v>
      </c>
      <c r="BO134" s="13" t="s">
        <v>40</v>
      </c>
      <c r="BP134" s="13" t="s">
        <v>67</v>
      </c>
      <c r="BQ134" s="15">
        <f>IF(F121=1,Gen!$D9-Sheet1!AG134,0)</f>
        <v>0</v>
      </c>
      <c r="BR134" s="15">
        <f>IF(G121=1,Gen!$D9-Sheet1!AH134,0)</f>
        <v>0</v>
      </c>
      <c r="BS134" s="15">
        <f>IF(H121=1,Gen!$D9-Sheet1!AI134,0)</f>
        <v>0</v>
      </c>
      <c r="BT134" s="15">
        <f>IF(I121=1,Gen!$D9-Sheet1!AJ134,0)</f>
        <v>0</v>
      </c>
      <c r="BU134" s="15">
        <f>IF(J121=1,Gen!$D9-Sheet1!AK134,0)</f>
        <v>0</v>
      </c>
      <c r="BV134" s="15">
        <f>IF(K121=1,Gen!$D9-Sheet1!AL134,0)</f>
        <v>0</v>
      </c>
      <c r="BW134" s="15">
        <f>IF(L121=1,Gen!$D9-Sheet1!AM134,0)</f>
        <v>0</v>
      </c>
      <c r="BX134" s="15">
        <f>IF(M121=1,Gen!$D9-Sheet1!AN134,0)</f>
        <v>0</v>
      </c>
      <c r="BY134" s="15">
        <f>IF(N121=1,Gen!$D9-Sheet1!AO134,0)</f>
        <v>0</v>
      </c>
      <c r="BZ134" s="15">
        <f>IF(O121=1,Gen!$D9-Sheet1!AP134,0)</f>
        <v>0</v>
      </c>
      <c r="CA134" s="15">
        <f>IF(P121=1,Gen!$D9-Sheet1!AQ134,0)</f>
        <v>0</v>
      </c>
      <c r="CB134" s="15">
        <f>IF(Q121=1,Gen!$D9-Sheet1!AR134,0)</f>
        <v>0</v>
      </c>
      <c r="CC134" s="15">
        <f>IF(R121=1,Gen!$D9-Sheet1!AS134,0)</f>
        <v>0</v>
      </c>
      <c r="CD134" s="15">
        <f>IF(S121=1,Gen!$D9-Sheet1!AT134,0)</f>
        <v>0</v>
      </c>
      <c r="CE134" s="15">
        <f>IF(T121=1,Gen!$D9-Sheet1!AU134,0)</f>
        <v>0</v>
      </c>
      <c r="CF134" s="15">
        <f>IF(U121=1,Gen!$D9-Sheet1!AV134,0)</f>
        <v>0</v>
      </c>
      <c r="CG134" s="15">
        <f>IF(V121=1,Gen!$D9-Sheet1!AW134,0)</f>
        <v>0</v>
      </c>
      <c r="CH134" s="15">
        <f>IF(W121=1,Gen!$D9-Sheet1!AX134,0)</f>
        <v>0</v>
      </c>
      <c r="CI134" s="15">
        <f>IF(X121=1,Gen!$D9-Sheet1!AY134,0)</f>
        <v>0</v>
      </c>
      <c r="CJ134" s="15">
        <f>IF(Y121=1,Gen!$D9-Sheet1!AZ134,0)</f>
        <v>0</v>
      </c>
      <c r="CK134" s="15">
        <f>IF(Z121=1,Gen!$D9-Sheet1!BA134,0)</f>
        <v>0</v>
      </c>
      <c r="CL134" s="15">
        <f>IF(AA121=1,Gen!$D9-Sheet1!BB134,0)</f>
        <v>0</v>
      </c>
      <c r="CM134" s="15">
        <f>IF(AB121=1,Gen!$D9-Sheet1!BC134,0)</f>
        <v>0</v>
      </c>
      <c r="CN134" s="15">
        <f>IF(AC121=1,Gen!$D9-Sheet1!BD134,0)</f>
        <v>0</v>
      </c>
    </row>
    <row r="135" spans="5:145" x14ac:dyDescent="0.35">
      <c r="AE135" s="13" t="s">
        <v>41</v>
      </c>
      <c r="AF135" s="13" t="s">
        <v>68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5">
        <v>0</v>
      </c>
      <c r="AP135" s="15">
        <v>0</v>
      </c>
      <c r="AQ135" s="15">
        <v>0</v>
      </c>
      <c r="AR135" s="15">
        <v>0</v>
      </c>
      <c r="AS135" s="15">
        <v>0</v>
      </c>
      <c r="AT135" s="15">
        <v>0</v>
      </c>
      <c r="AU135" s="15">
        <v>0</v>
      </c>
      <c r="AV135" s="15">
        <v>0</v>
      </c>
      <c r="AW135" s="15">
        <v>0</v>
      </c>
      <c r="AX135" s="15">
        <v>0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O135" s="13" t="s">
        <v>41</v>
      </c>
      <c r="BP135" s="13" t="s">
        <v>68</v>
      </c>
      <c r="BQ135" s="15">
        <f>IF(F122=1,Gen!$D10-Sheet1!AG135,0)</f>
        <v>0</v>
      </c>
      <c r="BR135" s="15">
        <f>IF(G122=1,Gen!$D10-Sheet1!AH135,0)</f>
        <v>0</v>
      </c>
      <c r="BS135" s="15">
        <f>IF(H122=1,Gen!$D10-Sheet1!AI135,0)</f>
        <v>0</v>
      </c>
      <c r="BT135" s="15">
        <f>IF(I122=1,Gen!$D10-Sheet1!AJ135,0)</f>
        <v>0</v>
      </c>
      <c r="BU135" s="15">
        <f>IF(J122=1,Gen!$D10-Sheet1!AK135,0)</f>
        <v>0</v>
      </c>
      <c r="BV135" s="15">
        <f>IF(K122=1,Gen!$D10-Sheet1!AL135,0)</f>
        <v>0</v>
      </c>
      <c r="BW135" s="15">
        <f>IF(L122=1,Gen!$D10-Sheet1!AM135,0)</f>
        <v>0</v>
      </c>
      <c r="BX135" s="15">
        <f>IF(M122=1,Gen!$D10-Sheet1!AN135,0)</f>
        <v>0</v>
      </c>
      <c r="BY135" s="15">
        <f>IF(N122=1,Gen!$D10-Sheet1!AO135,0)</f>
        <v>0</v>
      </c>
      <c r="BZ135" s="15">
        <f>IF(O122=1,Gen!$D10-Sheet1!AP135,0)</f>
        <v>0</v>
      </c>
      <c r="CA135" s="15">
        <f>IF(P122=1,Gen!$D10-Sheet1!AQ135,0)</f>
        <v>0</v>
      </c>
      <c r="CB135" s="15">
        <f>IF(Q122=1,Gen!$D10-Sheet1!AR135,0)</f>
        <v>0</v>
      </c>
      <c r="CC135" s="15">
        <f>IF(R122=1,Gen!$D10-Sheet1!AS135,0)</f>
        <v>0</v>
      </c>
      <c r="CD135" s="15">
        <f>IF(S122=1,Gen!$D10-Sheet1!AT135,0)</f>
        <v>0</v>
      </c>
      <c r="CE135" s="15">
        <f>IF(T122=1,Gen!$D10-Sheet1!AU135,0)</f>
        <v>0</v>
      </c>
      <c r="CF135" s="15">
        <f>IF(U122=1,Gen!$D10-Sheet1!AV135,0)</f>
        <v>0</v>
      </c>
      <c r="CG135" s="15">
        <f>IF(V122=1,Gen!$D10-Sheet1!AW135,0)</f>
        <v>0</v>
      </c>
      <c r="CH135" s="15">
        <f>IF(W122=1,Gen!$D10-Sheet1!AX135,0)</f>
        <v>0</v>
      </c>
      <c r="CI135" s="15">
        <f>IF(X122=1,Gen!$D10-Sheet1!AY135,0)</f>
        <v>0</v>
      </c>
      <c r="CJ135" s="15">
        <f>IF(Y122=1,Gen!$D10-Sheet1!AZ135,0)</f>
        <v>0</v>
      </c>
      <c r="CK135" s="15">
        <f>IF(Z122=1,Gen!$D10-Sheet1!BA135,0)</f>
        <v>0</v>
      </c>
      <c r="CL135" s="15">
        <f>IF(AA122=1,Gen!$D10-Sheet1!BB135,0)</f>
        <v>0</v>
      </c>
      <c r="CM135" s="15">
        <f>IF(AB122=1,Gen!$D10-Sheet1!BC135,0)</f>
        <v>0</v>
      </c>
      <c r="CN135" s="15">
        <f>IF(AC122=1,Gen!$D10-Sheet1!BD135,0)</f>
        <v>0</v>
      </c>
    </row>
    <row r="136" spans="5:145" x14ac:dyDescent="0.35">
      <c r="AE136" s="13" t="s">
        <v>42</v>
      </c>
      <c r="AF136" s="13" t="s">
        <v>61</v>
      </c>
      <c r="AG136" s="15">
        <v>660</v>
      </c>
      <c r="AH136" s="15">
        <v>727.17</v>
      </c>
      <c r="AI136" s="15">
        <v>607.16999999999996</v>
      </c>
      <c r="AJ136" s="15">
        <v>540</v>
      </c>
      <c r="AK136" s="15">
        <v>541.52</v>
      </c>
      <c r="AL136" s="15">
        <v>661.52</v>
      </c>
      <c r="AM136" s="15">
        <v>758.06</v>
      </c>
      <c r="AN136" s="15">
        <v>870</v>
      </c>
      <c r="AO136" s="15">
        <v>870</v>
      </c>
      <c r="AP136" s="15">
        <v>870</v>
      </c>
      <c r="AQ136" s="15">
        <v>870</v>
      </c>
      <c r="AR136" s="15">
        <v>870</v>
      </c>
      <c r="AS136" s="15">
        <v>870</v>
      </c>
      <c r="AT136" s="15">
        <v>870</v>
      </c>
      <c r="AU136" s="15">
        <v>870</v>
      </c>
      <c r="AV136" s="15">
        <v>870</v>
      </c>
      <c r="AW136" s="15">
        <v>870</v>
      </c>
      <c r="AX136" s="15">
        <v>870</v>
      </c>
      <c r="AY136" s="15">
        <v>870</v>
      </c>
      <c r="AZ136" s="15">
        <v>870</v>
      </c>
      <c r="BA136" s="15">
        <v>870</v>
      </c>
      <c r="BB136" s="15">
        <v>870</v>
      </c>
      <c r="BC136" s="15">
        <v>870</v>
      </c>
      <c r="BD136" s="15">
        <v>870</v>
      </c>
      <c r="BO136" s="13" t="s">
        <v>42</v>
      </c>
      <c r="BP136" s="13" t="s">
        <v>61</v>
      </c>
      <c r="BQ136" s="15">
        <f>IF(F123=1,Gen!$D11-Sheet1!AG136,0)</f>
        <v>210</v>
      </c>
      <c r="BR136" s="15">
        <f>IF(G123=1,Gen!$D11-Sheet1!AH136,0)</f>
        <v>142.83000000000004</v>
      </c>
      <c r="BS136" s="15">
        <f>IF(H123=1,Gen!$D11-Sheet1!AI136,0)</f>
        <v>262.83000000000004</v>
      </c>
      <c r="BT136" s="15">
        <f>IF(I123=1,Gen!$D11-Sheet1!AJ136,0)</f>
        <v>330</v>
      </c>
      <c r="BU136" s="15">
        <f>IF(J123=1,Gen!$D11-Sheet1!AK136,0)</f>
        <v>328.48</v>
      </c>
      <c r="BV136" s="15">
        <f>IF(K123=1,Gen!$D11-Sheet1!AL136,0)</f>
        <v>208.48000000000002</v>
      </c>
      <c r="BW136" s="15">
        <f>IF(L123=1,Gen!$D11-Sheet1!AM136,0)</f>
        <v>111.94000000000005</v>
      </c>
      <c r="BX136" s="15">
        <f>IF(M123=1,Gen!$D11-Sheet1!AN136,0)</f>
        <v>0</v>
      </c>
      <c r="BY136" s="15">
        <f>IF(N123=1,Gen!$D11-Sheet1!AO136,0)</f>
        <v>0</v>
      </c>
      <c r="BZ136" s="15">
        <f>IF(O123=1,Gen!$D11-Sheet1!AP136,0)</f>
        <v>0</v>
      </c>
      <c r="CA136" s="15">
        <f>IF(P123=1,Gen!$D11-Sheet1!AQ136,0)</f>
        <v>0</v>
      </c>
      <c r="CB136" s="15">
        <f>IF(Q123=1,Gen!$D11-Sheet1!AR136,0)</f>
        <v>0</v>
      </c>
      <c r="CC136" s="15">
        <f>IF(R123=1,Gen!$D11-Sheet1!AS136,0)</f>
        <v>0</v>
      </c>
      <c r="CD136" s="15">
        <f>IF(S123=1,Gen!$D11-Sheet1!AT136,0)</f>
        <v>0</v>
      </c>
      <c r="CE136" s="15">
        <f>IF(T123=1,Gen!$D11-Sheet1!AU136,0)</f>
        <v>0</v>
      </c>
      <c r="CF136" s="15">
        <f>IF(U123=1,Gen!$D11-Sheet1!AV136,0)</f>
        <v>0</v>
      </c>
      <c r="CG136" s="15">
        <f>IF(V123=1,Gen!$D11-Sheet1!AW136,0)</f>
        <v>0</v>
      </c>
      <c r="CH136" s="15">
        <f>IF(W123=1,Gen!$D11-Sheet1!AX136,0)</f>
        <v>0</v>
      </c>
      <c r="CI136" s="15">
        <f>IF(X123=1,Gen!$D11-Sheet1!AY136,0)</f>
        <v>0</v>
      </c>
      <c r="CJ136" s="15">
        <f>IF(Y123=1,Gen!$D11-Sheet1!AZ136,0)</f>
        <v>0</v>
      </c>
      <c r="CK136" s="15">
        <f>IF(Z123=1,Gen!$D11-Sheet1!BA136,0)</f>
        <v>0</v>
      </c>
      <c r="CL136" s="15">
        <f>IF(AA123=1,Gen!$D11-Sheet1!BB136,0)</f>
        <v>0</v>
      </c>
      <c r="CM136" s="15">
        <f>IF(AB123=1,Gen!$D11-Sheet1!BC136,0)</f>
        <v>0</v>
      </c>
      <c r="CN136" s="15">
        <f>IF(AC123=1,Gen!$D11-Sheet1!BD136,0)</f>
        <v>0</v>
      </c>
    </row>
    <row r="137" spans="5:145" x14ac:dyDescent="0.35">
      <c r="AE137" s="13" t="s">
        <v>43</v>
      </c>
      <c r="AF137" s="13" t="s">
        <v>69</v>
      </c>
      <c r="AG137" s="15">
        <v>720</v>
      </c>
      <c r="AH137" s="15">
        <v>840</v>
      </c>
      <c r="AI137" s="15">
        <v>840</v>
      </c>
      <c r="AJ137" s="15">
        <v>754.38</v>
      </c>
      <c r="AK137" s="15">
        <v>840</v>
      </c>
      <c r="AL137" s="15">
        <v>840</v>
      </c>
      <c r="AM137" s="15">
        <v>840</v>
      </c>
      <c r="AN137" s="15">
        <v>720</v>
      </c>
      <c r="AO137" s="15">
        <v>840</v>
      </c>
      <c r="AP137" s="15">
        <v>840</v>
      </c>
      <c r="AQ137" s="15">
        <v>840</v>
      </c>
      <c r="AR137" s="15">
        <v>840</v>
      </c>
      <c r="AS137" s="15">
        <v>840</v>
      </c>
      <c r="AT137" s="15">
        <v>840</v>
      </c>
      <c r="AU137" s="15">
        <v>840</v>
      </c>
      <c r="AV137" s="15">
        <v>840</v>
      </c>
      <c r="AW137" s="15">
        <v>840</v>
      </c>
      <c r="AX137" s="15">
        <v>840</v>
      </c>
      <c r="AY137" s="15">
        <v>840</v>
      </c>
      <c r="AZ137" s="15">
        <v>840</v>
      </c>
      <c r="BA137" s="15">
        <v>840</v>
      </c>
      <c r="BB137" s="15">
        <v>840</v>
      </c>
      <c r="BC137" s="15">
        <v>840</v>
      </c>
      <c r="BD137" s="15">
        <v>840</v>
      </c>
      <c r="BO137" s="13" t="s">
        <v>43</v>
      </c>
      <c r="BP137" s="13" t="s">
        <v>69</v>
      </c>
      <c r="BQ137" s="15">
        <f>IF(F124=1,Gen!$D12-Sheet1!AG137,0)</f>
        <v>120</v>
      </c>
      <c r="BR137" s="15">
        <f>IF(G124=1,Gen!$D12-Sheet1!AH137,0)</f>
        <v>0</v>
      </c>
      <c r="BS137" s="15">
        <f>IF(H124=1,Gen!$D12-Sheet1!AI137,0)</f>
        <v>0</v>
      </c>
      <c r="BT137" s="15">
        <f>IF(I124=1,Gen!$D12-Sheet1!AJ137,0)</f>
        <v>85.62</v>
      </c>
      <c r="BU137" s="15">
        <f>IF(J124=1,Gen!$D12-Sheet1!AK137,0)</f>
        <v>0</v>
      </c>
      <c r="BV137" s="15">
        <f>IF(K124=1,Gen!$D12-Sheet1!AL137,0)</f>
        <v>0</v>
      </c>
      <c r="BW137" s="15">
        <f>IF(L124=1,Gen!$D12-Sheet1!AM137,0)</f>
        <v>0</v>
      </c>
      <c r="BX137" s="15">
        <f>IF(M124=1,Gen!$D12-Sheet1!AN137,0)</f>
        <v>120</v>
      </c>
      <c r="BY137" s="15">
        <f>IF(N124=1,Gen!$D12-Sheet1!AO137,0)</f>
        <v>0</v>
      </c>
      <c r="BZ137" s="15">
        <f>IF(O124=1,Gen!$D12-Sheet1!AP137,0)</f>
        <v>0</v>
      </c>
      <c r="CA137" s="15">
        <f>IF(P124=1,Gen!$D12-Sheet1!AQ137,0)</f>
        <v>0</v>
      </c>
      <c r="CB137" s="15">
        <f>IF(Q124=1,Gen!$D12-Sheet1!AR137,0)</f>
        <v>0</v>
      </c>
      <c r="CC137" s="15">
        <f>IF(R124=1,Gen!$D12-Sheet1!AS137,0)</f>
        <v>0</v>
      </c>
      <c r="CD137" s="15">
        <f>IF(S124=1,Gen!$D12-Sheet1!AT137,0)</f>
        <v>0</v>
      </c>
      <c r="CE137" s="15">
        <f>IF(T124=1,Gen!$D12-Sheet1!AU137,0)</f>
        <v>0</v>
      </c>
      <c r="CF137" s="15">
        <f>IF(U124=1,Gen!$D12-Sheet1!AV137,0)</f>
        <v>0</v>
      </c>
      <c r="CG137" s="15">
        <f>IF(V124=1,Gen!$D12-Sheet1!AW137,0)</f>
        <v>0</v>
      </c>
      <c r="CH137" s="15">
        <f>IF(W124=1,Gen!$D12-Sheet1!AX137,0)</f>
        <v>0</v>
      </c>
      <c r="CI137" s="15">
        <f>IF(X124=1,Gen!$D12-Sheet1!AY137,0)</f>
        <v>0</v>
      </c>
      <c r="CJ137" s="15">
        <f>IF(Y124=1,Gen!$D12-Sheet1!AZ137,0)</f>
        <v>0</v>
      </c>
      <c r="CK137" s="15">
        <f>IF(Z124=1,Gen!$D12-Sheet1!BA137,0)</f>
        <v>0</v>
      </c>
      <c r="CL137" s="15">
        <f>IF(AA124=1,Gen!$D12-Sheet1!BB137,0)</f>
        <v>0</v>
      </c>
      <c r="CM137" s="15">
        <f>IF(AB124=1,Gen!$D12-Sheet1!BC137,0)</f>
        <v>0</v>
      </c>
      <c r="CN137" s="15">
        <f>IF(AC124=1,Gen!$D12-Sheet1!BD137,0)</f>
        <v>0</v>
      </c>
    </row>
    <row r="138" spans="5:145" x14ac:dyDescent="0.35">
      <c r="AD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</row>
    <row r="139" spans="5:145" x14ac:dyDescent="0.35">
      <c r="AE139" s="21" t="s">
        <v>129</v>
      </c>
      <c r="AG139">
        <v>4225.6768346587305</v>
      </c>
      <c r="AH139">
        <v>4173.1684539200869</v>
      </c>
      <c r="AI139">
        <v>4089.201785627165</v>
      </c>
      <c r="AJ139">
        <v>4009.3833712250575</v>
      </c>
      <c r="AK139">
        <v>4009.3833712250575</v>
      </c>
      <c r="AL139">
        <v>4211.5210225886722</v>
      </c>
      <c r="AM139">
        <v>4273.0604107918234</v>
      </c>
      <c r="AN139">
        <v>4224.6919373566861</v>
      </c>
      <c r="AO139">
        <v>4531.4540605942329</v>
      </c>
      <c r="AP139">
        <v>4847.0719129628733</v>
      </c>
      <c r="AQ139">
        <v>4980.9845596916621</v>
      </c>
      <c r="AR139">
        <v>5032.1157535249067</v>
      </c>
      <c r="AS139">
        <v>4781.5845889642387</v>
      </c>
      <c r="AT139" s="4">
        <v>4955.8112523783966</v>
      </c>
      <c r="AU139" s="4">
        <v>5107.4270107820657</v>
      </c>
      <c r="AV139" s="4">
        <v>5062.5891437771388</v>
      </c>
      <c r="AW139" s="4">
        <v>5000.4488012879938</v>
      </c>
      <c r="AX139" s="4">
        <v>4900.5568444162564</v>
      </c>
      <c r="AY139" s="4">
        <v>4952.2722993608822</v>
      </c>
      <c r="AZ139" s="4">
        <v>5132.4000000000005</v>
      </c>
      <c r="BA139" s="4">
        <v>5080.6845450553747</v>
      </c>
      <c r="BB139" s="4">
        <v>4974.2989432599898</v>
      </c>
      <c r="BC139" s="4">
        <v>4703.5189578962782</v>
      </c>
      <c r="BD139">
        <v>4496.2565019271115</v>
      </c>
    </row>
    <row r="140" spans="5:145" x14ac:dyDescent="0.35">
      <c r="DS140" s="57"/>
    </row>
    <row r="141" spans="5:145" x14ac:dyDescent="0.35">
      <c r="E141" t="s">
        <v>33</v>
      </c>
    </row>
    <row r="142" spans="5:145" x14ac:dyDescent="0.35">
      <c r="E142" s="66" t="s">
        <v>44</v>
      </c>
      <c r="F142" s="66" t="s">
        <v>22</v>
      </c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E142" s="62" t="s">
        <v>44</v>
      </c>
      <c r="AF142" s="63"/>
      <c r="AG142" s="66" t="s">
        <v>22</v>
      </c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6"/>
      <c r="AW142" s="66"/>
      <c r="AX142" s="66"/>
      <c r="AY142" s="66"/>
      <c r="AZ142" s="66"/>
      <c r="BA142" s="66"/>
      <c r="BB142" s="66"/>
      <c r="BC142" s="66"/>
      <c r="BD142" s="66"/>
      <c r="BO142" s="62" t="s">
        <v>44</v>
      </c>
      <c r="BP142" s="63"/>
      <c r="BQ142" s="66" t="s">
        <v>22</v>
      </c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DQ142" s="67" t="s">
        <v>146</v>
      </c>
      <c r="DR142" s="67" t="s">
        <v>22</v>
      </c>
      <c r="DS142" s="67"/>
      <c r="DT142" s="67"/>
      <c r="DU142" s="67"/>
      <c r="DV142" s="67"/>
      <c r="DW142" s="67"/>
      <c r="DX142" s="67"/>
      <c r="DY142" s="67"/>
      <c r="DZ142" s="67"/>
      <c r="EA142" s="67"/>
      <c r="EB142" s="67"/>
      <c r="EC142" s="67"/>
      <c r="ED142" s="67"/>
      <c r="EE142" s="67"/>
      <c r="EF142" s="67"/>
      <c r="EG142" s="67"/>
      <c r="EH142" s="67"/>
      <c r="EI142" s="67"/>
      <c r="EJ142" s="67"/>
      <c r="EK142" s="67"/>
      <c r="EL142" s="67"/>
      <c r="EM142" s="67"/>
      <c r="EN142" s="67"/>
      <c r="EO142" s="67"/>
    </row>
    <row r="143" spans="5:145" x14ac:dyDescent="0.35">
      <c r="E143" s="66"/>
      <c r="F143" s="12">
        <v>1</v>
      </c>
      <c r="G143" s="12">
        <v>2</v>
      </c>
      <c r="H143" s="12">
        <v>3</v>
      </c>
      <c r="I143" s="12">
        <v>4</v>
      </c>
      <c r="J143" s="12">
        <v>5</v>
      </c>
      <c r="K143" s="12">
        <v>6</v>
      </c>
      <c r="L143" s="12">
        <v>7</v>
      </c>
      <c r="M143" s="12">
        <v>8</v>
      </c>
      <c r="N143" s="12">
        <v>9</v>
      </c>
      <c r="O143" s="12">
        <v>10</v>
      </c>
      <c r="P143" s="12">
        <v>11</v>
      </c>
      <c r="Q143" s="12">
        <v>12</v>
      </c>
      <c r="R143" s="12">
        <v>13</v>
      </c>
      <c r="S143" s="12">
        <v>14</v>
      </c>
      <c r="T143" s="12">
        <v>15</v>
      </c>
      <c r="U143" s="12">
        <v>16</v>
      </c>
      <c r="V143" s="12">
        <v>17</v>
      </c>
      <c r="W143" s="12">
        <v>18</v>
      </c>
      <c r="X143" s="12">
        <v>19</v>
      </c>
      <c r="Y143" s="12">
        <v>20</v>
      </c>
      <c r="Z143" s="12">
        <v>21</v>
      </c>
      <c r="AA143" s="12">
        <v>22</v>
      </c>
      <c r="AB143" s="12">
        <v>23</v>
      </c>
      <c r="AC143" s="12">
        <v>24</v>
      </c>
      <c r="AE143" s="64"/>
      <c r="AF143" s="65"/>
      <c r="AG143" s="14">
        <v>1</v>
      </c>
      <c r="AH143" s="14">
        <v>2</v>
      </c>
      <c r="AI143" s="14">
        <v>3</v>
      </c>
      <c r="AJ143" s="14">
        <v>4</v>
      </c>
      <c r="AK143" s="14">
        <v>5</v>
      </c>
      <c r="AL143" s="14">
        <v>6</v>
      </c>
      <c r="AM143" s="14">
        <v>7</v>
      </c>
      <c r="AN143" s="14">
        <v>8</v>
      </c>
      <c r="AO143" s="14">
        <v>9</v>
      </c>
      <c r="AP143" s="14">
        <v>10</v>
      </c>
      <c r="AQ143" s="14">
        <v>11</v>
      </c>
      <c r="AR143" s="14">
        <v>12</v>
      </c>
      <c r="AS143" s="14">
        <v>13</v>
      </c>
      <c r="AT143" s="14">
        <v>14</v>
      </c>
      <c r="AU143" s="14">
        <v>15</v>
      </c>
      <c r="AV143" s="14">
        <v>16</v>
      </c>
      <c r="AW143" s="14">
        <v>17</v>
      </c>
      <c r="AX143" s="14">
        <v>18</v>
      </c>
      <c r="AY143" s="14">
        <v>19</v>
      </c>
      <c r="AZ143" s="14">
        <v>20</v>
      </c>
      <c r="BA143" s="14">
        <v>21</v>
      </c>
      <c r="BB143" s="14">
        <v>22</v>
      </c>
      <c r="BC143" s="14">
        <v>23</v>
      </c>
      <c r="BD143" s="14">
        <v>24</v>
      </c>
      <c r="BO143" s="64"/>
      <c r="BP143" s="65"/>
      <c r="BQ143" s="14">
        <v>1</v>
      </c>
      <c r="BR143" s="14">
        <v>2</v>
      </c>
      <c r="BS143" s="14">
        <v>3</v>
      </c>
      <c r="BT143" s="14">
        <v>4</v>
      </c>
      <c r="BU143" s="14">
        <v>5</v>
      </c>
      <c r="BV143" s="14">
        <v>6</v>
      </c>
      <c r="BW143" s="14">
        <v>7</v>
      </c>
      <c r="BX143" s="14">
        <v>8</v>
      </c>
      <c r="BY143" s="14">
        <v>9</v>
      </c>
      <c r="BZ143" s="14">
        <v>10</v>
      </c>
      <c r="CA143" s="14">
        <v>11</v>
      </c>
      <c r="CB143" s="14">
        <v>12</v>
      </c>
      <c r="CC143" s="14">
        <v>13</v>
      </c>
      <c r="CD143" s="14">
        <v>14</v>
      </c>
      <c r="CE143" s="14">
        <v>15</v>
      </c>
      <c r="CF143" s="14">
        <v>16</v>
      </c>
      <c r="CG143" s="14">
        <v>17</v>
      </c>
      <c r="CH143" s="14">
        <v>18</v>
      </c>
      <c r="CI143" s="14">
        <v>19</v>
      </c>
      <c r="CJ143" s="14">
        <v>20</v>
      </c>
      <c r="CK143" s="14">
        <v>21</v>
      </c>
      <c r="CL143" s="14">
        <v>22</v>
      </c>
      <c r="CM143" s="14">
        <v>23</v>
      </c>
      <c r="CN143" s="14">
        <v>24</v>
      </c>
      <c r="DQ143" s="67"/>
      <c r="DR143" s="16">
        <v>1</v>
      </c>
      <c r="DS143" s="16">
        <v>2</v>
      </c>
      <c r="DT143" s="16">
        <v>3</v>
      </c>
      <c r="DU143" s="16">
        <v>4</v>
      </c>
      <c r="DV143" s="16">
        <v>5</v>
      </c>
      <c r="DW143" s="16">
        <v>6</v>
      </c>
      <c r="DX143" s="16">
        <v>7</v>
      </c>
      <c r="DY143" s="16">
        <v>8</v>
      </c>
      <c r="DZ143" s="16">
        <v>9</v>
      </c>
      <c r="EA143" s="16">
        <v>10</v>
      </c>
      <c r="EB143" s="16">
        <v>11</v>
      </c>
      <c r="EC143" s="16">
        <v>12</v>
      </c>
      <c r="ED143" s="16">
        <v>13</v>
      </c>
      <c r="EE143" s="16">
        <v>14</v>
      </c>
      <c r="EF143" s="16">
        <v>15</v>
      </c>
      <c r="EG143" s="16">
        <v>16</v>
      </c>
      <c r="EH143" s="16">
        <v>17</v>
      </c>
      <c r="EI143" s="16">
        <v>18</v>
      </c>
      <c r="EJ143" s="16">
        <v>19</v>
      </c>
      <c r="EK143" s="16">
        <v>20</v>
      </c>
      <c r="EL143" s="16">
        <v>21</v>
      </c>
      <c r="EM143" s="16">
        <v>22</v>
      </c>
      <c r="EN143" s="16">
        <v>23</v>
      </c>
      <c r="EO143" s="16">
        <v>24</v>
      </c>
    </row>
    <row r="144" spans="5:145" x14ac:dyDescent="0.35">
      <c r="E144" s="13" t="s">
        <v>34</v>
      </c>
      <c r="F144" s="10">
        <v>1</v>
      </c>
      <c r="G144" s="10">
        <v>1</v>
      </c>
      <c r="H144" s="10">
        <v>1</v>
      </c>
      <c r="I144" s="10">
        <v>1</v>
      </c>
      <c r="J144" s="10">
        <v>1</v>
      </c>
      <c r="K144" s="10">
        <v>1</v>
      </c>
      <c r="L144" s="10">
        <v>1</v>
      </c>
      <c r="M144" s="10">
        <v>1</v>
      </c>
      <c r="N144" s="10">
        <v>1</v>
      </c>
      <c r="O144" s="10">
        <v>1</v>
      </c>
      <c r="P144" s="10">
        <v>1</v>
      </c>
      <c r="Q144" s="10">
        <v>1</v>
      </c>
      <c r="R144" s="10">
        <v>1</v>
      </c>
      <c r="S144" s="10">
        <v>1</v>
      </c>
      <c r="T144" s="10">
        <v>1</v>
      </c>
      <c r="U144" s="10">
        <v>1</v>
      </c>
      <c r="V144" s="10">
        <v>1</v>
      </c>
      <c r="W144" s="10">
        <v>1</v>
      </c>
      <c r="X144" s="10">
        <v>1</v>
      </c>
      <c r="Y144" s="10">
        <v>1</v>
      </c>
      <c r="Z144" s="10">
        <v>1</v>
      </c>
      <c r="AA144" s="10">
        <v>1</v>
      </c>
      <c r="AB144" s="10">
        <v>1</v>
      </c>
      <c r="AC144" s="10">
        <v>1</v>
      </c>
      <c r="AE144" s="13" t="s">
        <v>34</v>
      </c>
      <c r="AF144" s="13" t="s">
        <v>60</v>
      </c>
      <c r="AG144" s="48">
        <v>1176</v>
      </c>
      <c r="AH144" s="48">
        <v>1176</v>
      </c>
      <c r="AI144" s="48">
        <v>1176</v>
      </c>
      <c r="AJ144" s="48">
        <v>1176</v>
      </c>
      <c r="AK144" s="48">
        <v>1176</v>
      </c>
      <c r="AL144" s="48">
        <v>1176</v>
      </c>
      <c r="AM144" s="48">
        <v>1056</v>
      </c>
      <c r="AN144" s="48">
        <v>1056</v>
      </c>
      <c r="AO144" s="48">
        <v>1176</v>
      </c>
      <c r="AP144" s="48">
        <v>1176</v>
      </c>
      <c r="AQ144" s="48">
        <v>1176</v>
      </c>
      <c r="AR144" s="48">
        <v>1176</v>
      </c>
      <c r="AS144" s="48">
        <v>1176</v>
      </c>
      <c r="AT144" s="48">
        <v>1176</v>
      </c>
      <c r="AU144" s="48">
        <v>1176</v>
      </c>
      <c r="AV144" s="48">
        <v>1176</v>
      </c>
      <c r="AW144" s="48">
        <v>1176</v>
      </c>
      <c r="AX144" s="48">
        <v>1176</v>
      </c>
      <c r="AY144" s="48">
        <v>1176</v>
      </c>
      <c r="AZ144" s="48">
        <v>1176</v>
      </c>
      <c r="BA144" s="48">
        <v>1176</v>
      </c>
      <c r="BB144" s="48">
        <v>1176</v>
      </c>
      <c r="BC144" s="48">
        <v>1176</v>
      </c>
      <c r="BD144" s="48">
        <v>1176</v>
      </c>
      <c r="BO144" s="13" t="s">
        <v>34</v>
      </c>
      <c r="BP144" s="13" t="s">
        <v>60</v>
      </c>
      <c r="BQ144" s="48">
        <v>0</v>
      </c>
      <c r="BR144" s="48">
        <v>0</v>
      </c>
      <c r="BS144" s="48">
        <v>0</v>
      </c>
      <c r="BT144" s="48">
        <v>0</v>
      </c>
      <c r="BU144" s="48">
        <v>0</v>
      </c>
      <c r="BV144" s="48">
        <v>0</v>
      </c>
      <c r="BW144" s="48">
        <v>120</v>
      </c>
      <c r="BX144" s="48">
        <v>120</v>
      </c>
      <c r="BY144" s="48">
        <v>0</v>
      </c>
      <c r="BZ144" s="48">
        <v>0</v>
      </c>
      <c r="CA144" s="48">
        <v>0</v>
      </c>
      <c r="CB144" s="48">
        <v>0</v>
      </c>
      <c r="CC144" s="48">
        <v>0</v>
      </c>
      <c r="CD144" s="48">
        <v>0</v>
      </c>
      <c r="CE144" s="48">
        <v>0</v>
      </c>
      <c r="CF144" s="48">
        <v>0</v>
      </c>
      <c r="CG144" s="48">
        <v>0</v>
      </c>
      <c r="CH144" s="48">
        <v>0</v>
      </c>
      <c r="CI144" s="48">
        <v>0</v>
      </c>
      <c r="CJ144" s="48">
        <v>0</v>
      </c>
      <c r="CK144" s="48">
        <v>0</v>
      </c>
      <c r="CL144" s="48">
        <v>0</v>
      </c>
      <c r="CM144" s="48">
        <v>0</v>
      </c>
      <c r="CN144" s="48">
        <v>0</v>
      </c>
      <c r="DQ144" s="35" t="s">
        <v>170</v>
      </c>
      <c r="DR144" s="56">
        <v>-20.500000000000014</v>
      </c>
      <c r="DS144" s="56">
        <v>0</v>
      </c>
      <c r="DT144" s="56">
        <v>0</v>
      </c>
      <c r="DU144" s="56">
        <v>1.628971225057285</v>
      </c>
      <c r="DV144" s="56">
        <v>78.371028774942715</v>
      </c>
      <c r="DW144" s="56">
        <v>60</v>
      </c>
      <c r="DX144" s="56">
        <v>0</v>
      </c>
      <c r="DY144" s="56">
        <v>45</v>
      </c>
      <c r="DZ144" s="56">
        <v>0</v>
      </c>
      <c r="EA144" s="56">
        <v>-11.085512962873111</v>
      </c>
      <c r="EB144" s="56">
        <v>-20</v>
      </c>
      <c r="EC144" s="56">
        <v>-48.914487037126889</v>
      </c>
      <c r="ED144" s="56">
        <v>80</v>
      </c>
      <c r="EE144" s="56">
        <v>0</v>
      </c>
      <c r="EF144" s="56">
        <v>0</v>
      </c>
      <c r="EG144" s="56">
        <v>-60</v>
      </c>
      <c r="EH144" s="56">
        <v>0</v>
      </c>
      <c r="EI144" s="56">
        <v>-20</v>
      </c>
      <c r="EJ144" s="56">
        <v>0</v>
      </c>
      <c r="EK144" s="56">
        <v>-25</v>
      </c>
      <c r="EL144" s="56">
        <v>-80</v>
      </c>
      <c r="EM144" s="56">
        <v>0</v>
      </c>
      <c r="EN144" s="56">
        <v>0</v>
      </c>
      <c r="EO144" s="56">
        <v>20.500000000000004</v>
      </c>
    </row>
    <row r="145" spans="5:145" x14ac:dyDescent="0.35">
      <c r="E145" s="13" t="s">
        <v>35</v>
      </c>
      <c r="F145" s="10">
        <v>1</v>
      </c>
      <c r="G145" s="10">
        <v>1</v>
      </c>
      <c r="H145" s="10">
        <v>1</v>
      </c>
      <c r="I145" s="10">
        <v>1</v>
      </c>
      <c r="J145" s="10">
        <v>1</v>
      </c>
      <c r="K145" s="10">
        <v>1</v>
      </c>
      <c r="L145" s="10">
        <v>1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1</v>
      </c>
      <c r="S145" s="10">
        <v>1</v>
      </c>
      <c r="T145" s="10">
        <v>1</v>
      </c>
      <c r="U145" s="10">
        <v>1</v>
      </c>
      <c r="V145" s="10">
        <v>1</v>
      </c>
      <c r="W145" s="10">
        <v>1</v>
      </c>
      <c r="X145" s="10">
        <v>1</v>
      </c>
      <c r="Y145" s="10">
        <v>1</v>
      </c>
      <c r="Z145" s="10">
        <v>1</v>
      </c>
      <c r="AA145" s="10">
        <v>1</v>
      </c>
      <c r="AB145" s="10">
        <v>1</v>
      </c>
      <c r="AC145" s="10">
        <v>1</v>
      </c>
      <c r="AE145" s="13" t="s">
        <v>35</v>
      </c>
      <c r="AF145" s="13" t="s">
        <v>62</v>
      </c>
      <c r="AG145" s="48">
        <v>340</v>
      </c>
      <c r="AH145" s="48">
        <v>340</v>
      </c>
      <c r="AI145" s="48">
        <v>340</v>
      </c>
      <c r="AJ145" s="48">
        <v>340</v>
      </c>
      <c r="AK145" s="48">
        <v>340</v>
      </c>
      <c r="AL145" s="48">
        <v>340</v>
      </c>
      <c r="AM145" s="48">
        <v>340</v>
      </c>
      <c r="AN145" s="48">
        <v>340</v>
      </c>
      <c r="AO145" s="48">
        <v>340</v>
      </c>
      <c r="AP145" s="48">
        <v>340</v>
      </c>
      <c r="AQ145" s="48">
        <v>567.32000000000005</v>
      </c>
      <c r="AR145" s="48">
        <v>697.64</v>
      </c>
      <c r="AS145" s="48">
        <v>638.04</v>
      </c>
      <c r="AT145" s="48">
        <v>716.78</v>
      </c>
      <c r="AU145" s="48">
        <v>809.34</v>
      </c>
      <c r="AV145" s="48">
        <v>710.05</v>
      </c>
      <c r="AW145" s="48">
        <v>410.05</v>
      </c>
      <c r="AX145" s="48">
        <v>558.32000000000005</v>
      </c>
      <c r="AY145" s="48">
        <v>613.57000000000005</v>
      </c>
      <c r="AZ145" s="48">
        <v>736.02</v>
      </c>
      <c r="BA145" s="48">
        <v>640.19000000000005</v>
      </c>
      <c r="BB145" s="48">
        <v>671.93</v>
      </c>
      <c r="BC145" s="48">
        <v>379.05</v>
      </c>
      <c r="BD145" s="48">
        <v>340</v>
      </c>
      <c r="BO145" s="13" t="s">
        <v>35</v>
      </c>
      <c r="BP145" s="13" t="s">
        <v>62</v>
      </c>
      <c r="BQ145" s="48">
        <v>785</v>
      </c>
      <c r="BR145" s="48">
        <v>785</v>
      </c>
      <c r="BS145" s="48">
        <v>785</v>
      </c>
      <c r="BT145" s="48">
        <v>785</v>
      </c>
      <c r="BU145" s="48">
        <v>785</v>
      </c>
      <c r="BV145" s="48">
        <v>785</v>
      </c>
      <c r="BW145" s="48">
        <v>785</v>
      </c>
      <c r="BX145" s="48">
        <v>785</v>
      </c>
      <c r="BY145" s="48">
        <v>785</v>
      </c>
      <c r="BZ145" s="48">
        <v>785</v>
      </c>
      <c r="CA145" s="48">
        <v>557.67999999999995</v>
      </c>
      <c r="CB145" s="48">
        <v>427.36</v>
      </c>
      <c r="CC145" s="48">
        <v>486.96</v>
      </c>
      <c r="CD145" s="48">
        <v>408.22</v>
      </c>
      <c r="CE145" s="48">
        <v>315.66000000000003</v>
      </c>
      <c r="CF145" s="48">
        <v>414.95</v>
      </c>
      <c r="CG145" s="48">
        <v>714.95</v>
      </c>
      <c r="CH145" s="48">
        <v>566.67999999999995</v>
      </c>
      <c r="CI145" s="48">
        <v>511.43</v>
      </c>
      <c r="CJ145" s="48">
        <v>388.98</v>
      </c>
      <c r="CK145" s="48">
        <v>484.81</v>
      </c>
      <c r="CL145" s="48">
        <v>453.07</v>
      </c>
      <c r="CM145" s="48">
        <v>745.95</v>
      </c>
      <c r="CN145" s="48">
        <v>785</v>
      </c>
      <c r="DQ145" s="35" t="s">
        <v>147</v>
      </c>
      <c r="DR145" s="56">
        <v>19.999999999999989</v>
      </c>
      <c r="DS145" s="56">
        <v>20</v>
      </c>
      <c r="DT145" s="56">
        <v>20</v>
      </c>
      <c r="DU145" s="56">
        <v>21.628971225057278</v>
      </c>
      <c r="DV145" s="56">
        <v>100</v>
      </c>
      <c r="DW145" s="56">
        <v>160</v>
      </c>
      <c r="DX145" s="56">
        <v>160</v>
      </c>
      <c r="DY145" s="56">
        <v>205</v>
      </c>
      <c r="DZ145" s="56">
        <v>205</v>
      </c>
      <c r="EA145" s="56">
        <v>193.91448703712689</v>
      </c>
      <c r="EB145" s="56">
        <v>173.91448703712689</v>
      </c>
      <c r="EC145" s="56">
        <v>125</v>
      </c>
      <c r="ED145" s="56">
        <v>205</v>
      </c>
      <c r="EE145" s="56">
        <v>205</v>
      </c>
      <c r="EF145" s="56">
        <v>205</v>
      </c>
      <c r="EG145" s="56">
        <v>145</v>
      </c>
      <c r="EH145" s="56">
        <v>145</v>
      </c>
      <c r="EI145" s="56">
        <v>125</v>
      </c>
      <c r="EJ145" s="56">
        <v>125</v>
      </c>
      <c r="EK145" s="56">
        <v>100</v>
      </c>
      <c r="EL145" s="56">
        <v>20</v>
      </c>
      <c r="EM145" s="56">
        <v>20</v>
      </c>
      <c r="EN145" s="56">
        <v>19.999999999999993</v>
      </c>
      <c r="EO145" s="56">
        <v>40.5</v>
      </c>
    </row>
    <row r="146" spans="5:145" x14ac:dyDescent="0.35">
      <c r="E146" s="13" t="s">
        <v>36</v>
      </c>
      <c r="F146" s="10">
        <v>1</v>
      </c>
      <c r="G146" s="10">
        <v>1</v>
      </c>
      <c r="H146" s="10">
        <v>1</v>
      </c>
      <c r="I146" s="10">
        <v>1</v>
      </c>
      <c r="J146" s="10">
        <v>1</v>
      </c>
      <c r="K146" s="10">
        <v>1</v>
      </c>
      <c r="L146" s="10">
        <v>1</v>
      </c>
      <c r="M146" s="10">
        <v>1</v>
      </c>
      <c r="N146" s="10">
        <v>1</v>
      </c>
      <c r="O146" s="10">
        <v>1</v>
      </c>
      <c r="P146" s="10">
        <v>0.99999999999999989</v>
      </c>
      <c r="Q146" s="10">
        <v>0.99999999999999989</v>
      </c>
      <c r="R146" s="10">
        <v>0.99999999999999989</v>
      </c>
      <c r="S146" s="10">
        <v>0.99999999999999989</v>
      </c>
      <c r="T146" s="10">
        <v>0.99999999999999989</v>
      </c>
      <c r="U146" s="10">
        <v>1</v>
      </c>
      <c r="V146" s="10">
        <v>1</v>
      </c>
      <c r="W146" s="10">
        <v>1</v>
      </c>
      <c r="X146" s="10">
        <v>0.99999999999999989</v>
      </c>
      <c r="Y146" s="10">
        <v>0.99999999999999989</v>
      </c>
      <c r="Z146" s="10">
        <v>0.99999999999999989</v>
      </c>
      <c r="AA146" s="10">
        <v>0.99999999999999989</v>
      </c>
      <c r="AB146" s="10">
        <v>0.99999999999999989</v>
      </c>
      <c r="AC146" s="10">
        <v>0.99999999999999989</v>
      </c>
      <c r="AE146" s="13" t="s">
        <v>36</v>
      </c>
      <c r="AF146" s="13" t="s">
        <v>63</v>
      </c>
      <c r="AG146" s="48">
        <v>659.18</v>
      </c>
      <c r="AH146" s="48">
        <v>600</v>
      </c>
      <c r="AI146" s="48">
        <v>715.77</v>
      </c>
      <c r="AJ146" s="48">
        <v>681.44</v>
      </c>
      <c r="AK146" s="48">
        <v>600</v>
      </c>
      <c r="AL146" s="48">
        <v>643.14</v>
      </c>
      <c r="AM146" s="48">
        <v>609</v>
      </c>
      <c r="AN146" s="48">
        <v>729</v>
      </c>
      <c r="AO146" s="48">
        <v>849</v>
      </c>
      <c r="AP146" s="48">
        <v>969</v>
      </c>
      <c r="AQ146" s="48">
        <v>969</v>
      </c>
      <c r="AR146" s="48">
        <v>969</v>
      </c>
      <c r="AS146" s="48">
        <v>969</v>
      </c>
      <c r="AT146" s="48">
        <v>969</v>
      </c>
      <c r="AU146" s="48">
        <v>969</v>
      </c>
      <c r="AV146" s="48">
        <v>969</v>
      </c>
      <c r="AW146" s="48">
        <v>969</v>
      </c>
      <c r="AX146" s="48">
        <v>969</v>
      </c>
      <c r="AY146" s="48">
        <v>969</v>
      </c>
      <c r="AZ146" s="48">
        <v>969</v>
      </c>
      <c r="BA146" s="48">
        <v>969</v>
      </c>
      <c r="BB146" s="48">
        <v>969</v>
      </c>
      <c r="BC146" s="48">
        <v>969</v>
      </c>
      <c r="BD146" s="48">
        <v>969</v>
      </c>
      <c r="BO146" s="13" t="s">
        <v>36</v>
      </c>
      <c r="BP146" s="13" t="s">
        <v>63</v>
      </c>
      <c r="BQ146" s="48">
        <v>309.82</v>
      </c>
      <c r="BR146" s="48">
        <v>369</v>
      </c>
      <c r="BS146" s="48">
        <v>253.23</v>
      </c>
      <c r="BT146" s="48">
        <v>287.56</v>
      </c>
      <c r="BU146" s="48">
        <v>369</v>
      </c>
      <c r="BV146" s="48">
        <v>325.86</v>
      </c>
      <c r="BW146" s="48">
        <v>360</v>
      </c>
      <c r="BX146" s="48">
        <v>240</v>
      </c>
      <c r="BY146" s="48">
        <v>120</v>
      </c>
      <c r="BZ146" s="48">
        <v>0</v>
      </c>
      <c r="CA146" s="48">
        <v>0</v>
      </c>
      <c r="CB146" s="48">
        <v>0</v>
      </c>
      <c r="CC146" s="48">
        <v>0</v>
      </c>
      <c r="CD146" s="48">
        <v>0</v>
      </c>
      <c r="CE146" s="48">
        <v>0</v>
      </c>
      <c r="CF146" s="48">
        <v>0</v>
      </c>
      <c r="CG146" s="48">
        <v>0</v>
      </c>
      <c r="CH146" s="48">
        <v>0</v>
      </c>
      <c r="CI146" s="48">
        <v>0</v>
      </c>
      <c r="CJ146" s="48">
        <v>0</v>
      </c>
      <c r="CK146" s="48">
        <v>0</v>
      </c>
      <c r="CL146" s="48">
        <v>0</v>
      </c>
      <c r="CM146" s="48">
        <v>0</v>
      </c>
      <c r="CN146" s="48">
        <v>0</v>
      </c>
    </row>
    <row r="147" spans="5:145" x14ac:dyDescent="0.35">
      <c r="E147" s="13" t="s">
        <v>37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E147" s="13" t="s">
        <v>37</v>
      </c>
      <c r="AF147" s="13" t="s">
        <v>64</v>
      </c>
      <c r="AG147" s="48">
        <v>0</v>
      </c>
      <c r="AH147" s="48">
        <v>0</v>
      </c>
      <c r="AI147" s="48">
        <v>0</v>
      </c>
      <c r="AJ147" s="48">
        <v>0</v>
      </c>
      <c r="AK147" s="48">
        <v>0</v>
      </c>
      <c r="AL147" s="48">
        <v>0</v>
      </c>
      <c r="AM147" s="48">
        <v>0</v>
      </c>
      <c r="AN147" s="48">
        <v>0</v>
      </c>
      <c r="AO147" s="48">
        <v>0</v>
      </c>
      <c r="AP147" s="48">
        <v>0</v>
      </c>
      <c r="AQ147" s="48">
        <v>0</v>
      </c>
      <c r="AR147" s="48">
        <v>0</v>
      </c>
      <c r="AS147" s="48">
        <v>0</v>
      </c>
      <c r="AT147" s="48">
        <v>0</v>
      </c>
      <c r="AU147" s="48">
        <v>0</v>
      </c>
      <c r="AV147" s="48">
        <v>0</v>
      </c>
      <c r="AW147" s="48">
        <v>0</v>
      </c>
      <c r="AX147" s="48">
        <v>0</v>
      </c>
      <c r="AY147" s="48">
        <v>0</v>
      </c>
      <c r="AZ147" s="48">
        <v>0</v>
      </c>
      <c r="BA147" s="48">
        <v>0</v>
      </c>
      <c r="BB147" s="48">
        <v>0</v>
      </c>
      <c r="BC147" s="48">
        <v>0</v>
      </c>
      <c r="BD147" s="48">
        <v>0</v>
      </c>
      <c r="BO147" s="13" t="s">
        <v>37</v>
      </c>
      <c r="BP147" s="13" t="s">
        <v>64</v>
      </c>
      <c r="BQ147" s="48">
        <v>0</v>
      </c>
      <c r="BR147" s="48">
        <v>0</v>
      </c>
      <c r="BS147" s="48">
        <v>0</v>
      </c>
      <c r="BT147" s="48">
        <v>0</v>
      </c>
      <c r="BU147" s="48">
        <v>0</v>
      </c>
      <c r="BV147" s="48">
        <v>0</v>
      </c>
      <c r="BW147" s="48">
        <v>0</v>
      </c>
      <c r="BX147" s="48">
        <v>0</v>
      </c>
      <c r="BY147" s="48">
        <v>0</v>
      </c>
      <c r="BZ147" s="48">
        <v>0</v>
      </c>
      <c r="CA147" s="48">
        <v>0</v>
      </c>
      <c r="CB147" s="48">
        <v>0</v>
      </c>
      <c r="CC147" s="48">
        <v>0</v>
      </c>
      <c r="CD147" s="48">
        <v>0</v>
      </c>
      <c r="CE147" s="48">
        <v>0</v>
      </c>
      <c r="CF147" s="48">
        <v>0</v>
      </c>
      <c r="CG147" s="48">
        <v>0</v>
      </c>
      <c r="CH147" s="48">
        <v>0</v>
      </c>
      <c r="CI147" s="48">
        <v>0</v>
      </c>
      <c r="CJ147" s="48">
        <v>0</v>
      </c>
      <c r="CK147" s="48">
        <v>0</v>
      </c>
      <c r="CL147" s="48">
        <v>0</v>
      </c>
      <c r="CM147" s="48">
        <v>0</v>
      </c>
      <c r="CN147" s="48">
        <v>0</v>
      </c>
    </row>
    <row r="148" spans="5:145" x14ac:dyDescent="0.35">
      <c r="E148" s="13" t="s">
        <v>38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1</v>
      </c>
      <c r="U148" s="10">
        <v>1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E148" s="13" t="s">
        <v>38</v>
      </c>
      <c r="AF148" s="13" t="s">
        <v>65</v>
      </c>
      <c r="AG148" s="48">
        <v>0</v>
      </c>
      <c r="AH148" s="48">
        <v>0</v>
      </c>
      <c r="AI148" s="48">
        <v>0</v>
      </c>
      <c r="AJ148" s="48">
        <v>0</v>
      </c>
      <c r="AK148" s="48">
        <v>0</v>
      </c>
      <c r="AL148" s="48">
        <v>0</v>
      </c>
      <c r="AM148" s="48">
        <v>0</v>
      </c>
      <c r="AN148" s="48">
        <v>0</v>
      </c>
      <c r="AO148" s="48">
        <v>0</v>
      </c>
      <c r="AP148" s="48">
        <v>0</v>
      </c>
      <c r="AQ148" s="48">
        <v>0</v>
      </c>
      <c r="AR148" s="48">
        <v>0</v>
      </c>
      <c r="AS148" s="48">
        <v>0</v>
      </c>
      <c r="AT148" s="48">
        <v>0</v>
      </c>
      <c r="AU148" s="48">
        <v>66</v>
      </c>
      <c r="AV148" s="48">
        <v>66</v>
      </c>
      <c r="AW148" s="48">
        <v>0</v>
      </c>
      <c r="AX148" s="48">
        <v>0</v>
      </c>
      <c r="AY148" s="48">
        <v>0</v>
      </c>
      <c r="AZ148" s="48">
        <v>0</v>
      </c>
      <c r="BA148" s="48">
        <v>0</v>
      </c>
      <c r="BB148" s="48">
        <v>0</v>
      </c>
      <c r="BC148" s="48">
        <v>0</v>
      </c>
      <c r="BD148" s="48">
        <v>0</v>
      </c>
      <c r="BO148" s="13" t="s">
        <v>38</v>
      </c>
      <c r="BP148" s="13" t="s">
        <v>65</v>
      </c>
      <c r="BQ148" s="48">
        <v>0</v>
      </c>
      <c r="BR148" s="48">
        <v>0</v>
      </c>
      <c r="BS148" s="48">
        <v>0</v>
      </c>
      <c r="BT148" s="48">
        <v>0</v>
      </c>
      <c r="BU148" s="48">
        <v>0</v>
      </c>
      <c r="BV148" s="48">
        <v>0</v>
      </c>
      <c r="BW148" s="48">
        <v>0</v>
      </c>
      <c r="BX148" s="48">
        <v>0</v>
      </c>
      <c r="BY148" s="48">
        <v>0</v>
      </c>
      <c r="BZ148" s="48">
        <v>0</v>
      </c>
      <c r="CA148" s="48">
        <v>0</v>
      </c>
      <c r="CB148" s="48">
        <v>0</v>
      </c>
      <c r="CC148" s="48">
        <v>0</v>
      </c>
      <c r="CD148" s="48">
        <v>0</v>
      </c>
      <c r="CE148" s="48">
        <v>42</v>
      </c>
      <c r="CF148" s="48">
        <v>42</v>
      </c>
      <c r="CG148" s="48">
        <v>0</v>
      </c>
      <c r="CH148" s="48">
        <v>0</v>
      </c>
      <c r="CI148" s="48">
        <v>0</v>
      </c>
      <c r="CJ148" s="48">
        <v>0</v>
      </c>
      <c r="CK148" s="48">
        <v>0</v>
      </c>
      <c r="CL148" s="48">
        <v>0</v>
      </c>
      <c r="CM148" s="48">
        <v>0</v>
      </c>
      <c r="CN148" s="48">
        <v>0</v>
      </c>
    </row>
    <row r="149" spans="5:145" x14ac:dyDescent="0.35">
      <c r="E149" s="13" t="s">
        <v>39</v>
      </c>
      <c r="F149" s="10">
        <v>1</v>
      </c>
      <c r="G149" s="10">
        <v>1</v>
      </c>
      <c r="H149" s="10">
        <v>1</v>
      </c>
      <c r="I149" s="10">
        <v>1</v>
      </c>
      <c r="J149" s="10">
        <v>1</v>
      </c>
      <c r="K149" s="10">
        <v>1</v>
      </c>
      <c r="L149" s="10">
        <v>1</v>
      </c>
      <c r="M149" s="10">
        <v>1</v>
      </c>
      <c r="N149" s="10">
        <v>1</v>
      </c>
      <c r="O149" s="10">
        <v>1</v>
      </c>
      <c r="P149" s="10">
        <v>1</v>
      </c>
      <c r="Q149" s="10">
        <v>1</v>
      </c>
      <c r="R149" s="10">
        <v>1</v>
      </c>
      <c r="S149" s="10">
        <v>1</v>
      </c>
      <c r="T149" s="10">
        <v>1</v>
      </c>
      <c r="U149" s="10">
        <v>1</v>
      </c>
      <c r="V149" s="10">
        <v>1</v>
      </c>
      <c r="W149" s="10">
        <v>1</v>
      </c>
      <c r="X149" s="10">
        <v>1</v>
      </c>
      <c r="Y149" s="10">
        <v>1</v>
      </c>
      <c r="Z149" s="10">
        <v>1</v>
      </c>
      <c r="AA149" s="10">
        <v>1</v>
      </c>
      <c r="AB149" s="10">
        <v>1</v>
      </c>
      <c r="AC149" s="10">
        <v>1</v>
      </c>
      <c r="AE149" s="13" t="s">
        <v>39</v>
      </c>
      <c r="AF149" s="13" t="s">
        <v>66</v>
      </c>
      <c r="AG149" s="48">
        <v>250</v>
      </c>
      <c r="AH149" s="48">
        <v>250</v>
      </c>
      <c r="AI149" s="48">
        <v>250</v>
      </c>
      <c r="AJ149" s="48">
        <v>250</v>
      </c>
      <c r="AK149" s="48">
        <v>250</v>
      </c>
      <c r="AL149" s="48">
        <v>250</v>
      </c>
      <c r="AM149" s="48">
        <v>250</v>
      </c>
      <c r="AN149" s="48">
        <v>250</v>
      </c>
      <c r="AO149" s="48">
        <v>250</v>
      </c>
      <c r="AP149" s="48">
        <v>250</v>
      </c>
      <c r="AQ149" s="48">
        <v>250</v>
      </c>
      <c r="AR149" s="48">
        <v>250</v>
      </c>
      <c r="AS149" s="48">
        <v>250</v>
      </c>
      <c r="AT149" s="48">
        <v>250</v>
      </c>
      <c r="AU149" s="48">
        <v>250</v>
      </c>
      <c r="AV149" s="48">
        <v>270.22000000000003</v>
      </c>
      <c r="AW149" s="48">
        <v>550</v>
      </c>
      <c r="AX149" s="48">
        <v>250</v>
      </c>
      <c r="AY149" s="48">
        <v>250</v>
      </c>
      <c r="AZ149" s="48">
        <v>250</v>
      </c>
      <c r="BA149" s="48">
        <v>250</v>
      </c>
      <c r="BB149" s="48">
        <v>250</v>
      </c>
      <c r="BC149" s="48">
        <v>250</v>
      </c>
      <c r="BD149" s="48">
        <v>250</v>
      </c>
      <c r="BO149" s="13" t="s">
        <v>39</v>
      </c>
      <c r="BP149" s="13" t="s">
        <v>66</v>
      </c>
      <c r="BQ149" s="48">
        <v>845</v>
      </c>
      <c r="BR149" s="48">
        <v>845</v>
      </c>
      <c r="BS149" s="48">
        <v>845</v>
      </c>
      <c r="BT149" s="48">
        <v>845</v>
      </c>
      <c r="BU149" s="48">
        <v>845</v>
      </c>
      <c r="BV149" s="48">
        <v>845</v>
      </c>
      <c r="BW149" s="48">
        <v>845</v>
      </c>
      <c r="BX149" s="48">
        <v>845</v>
      </c>
      <c r="BY149" s="48">
        <v>845</v>
      </c>
      <c r="BZ149" s="48">
        <v>845</v>
      </c>
      <c r="CA149" s="48">
        <v>845</v>
      </c>
      <c r="CB149" s="48">
        <v>845</v>
      </c>
      <c r="CC149" s="48">
        <v>845</v>
      </c>
      <c r="CD149" s="48">
        <v>845</v>
      </c>
      <c r="CE149" s="48">
        <v>845</v>
      </c>
      <c r="CF149" s="48">
        <v>824.78</v>
      </c>
      <c r="CG149" s="48">
        <v>545</v>
      </c>
      <c r="CH149" s="48">
        <v>845</v>
      </c>
      <c r="CI149" s="48">
        <v>845</v>
      </c>
      <c r="CJ149" s="48">
        <v>845</v>
      </c>
      <c r="CK149" s="48">
        <v>845</v>
      </c>
      <c r="CL149" s="48">
        <v>845</v>
      </c>
      <c r="CM149" s="48">
        <v>845</v>
      </c>
      <c r="CN149" s="48">
        <v>845</v>
      </c>
    </row>
    <row r="150" spans="5:145" x14ac:dyDescent="0.35">
      <c r="E150" s="13" t="s">
        <v>40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E150" s="13" t="s">
        <v>40</v>
      </c>
      <c r="AF150" s="13" t="s">
        <v>67</v>
      </c>
      <c r="AG150" s="48">
        <v>0</v>
      </c>
      <c r="AH150" s="48">
        <v>0</v>
      </c>
      <c r="AI150" s="48">
        <v>0</v>
      </c>
      <c r="AJ150" s="48">
        <v>0</v>
      </c>
      <c r="AK150" s="48">
        <v>0</v>
      </c>
      <c r="AL150" s="48">
        <v>0</v>
      </c>
      <c r="AM150" s="48">
        <v>0</v>
      </c>
      <c r="AN150" s="48">
        <v>0</v>
      </c>
      <c r="AO150" s="48">
        <v>0</v>
      </c>
      <c r="AP150" s="48">
        <v>0</v>
      </c>
      <c r="AQ150" s="48">
        <v>0</v>
      </c>
      <c r="AR150" s="48">
        <v>0</v>
      </c>
      <c r="AS150" s="48">
        <v>0</v>
      </c>
      <c r="AT150" s="48">
        <v>0</v>
      </c>
      <c r="AU150" s="48">
        <v>0</v>
      </c>
      <c r="AV150" s="48">
        <v>0</v>
      </c>
      <c r="AW150" s="48">
        <v>0</v>
      </c>
      <c r="AX150" s="48">
        <v>0</v>
      </c>
      <c r="AY150" s="48">
        <v>0</v>
      </c>
      <c r="AZ150" s="48">
        <v>0</v>
      </c>
      <c r="BA150" s="48">
        <v>0</v>
      </c>
      <c r="BB150" s="48">
        <v>0</v>
      </c>
      <c r="BC150" s="48">
        <v>0</v>
      </c>
      <c r="BD150" s="48">
        <v>0</v>
      </c>
      <c r="BO150" s="13" t="s">
        <v>40</v>
      </c>
      <c r="BP150" s="13" t="s">
        <v>67</v>
      </c>
      <c r="BQ150" s="48">
        <v>0</v>
      </c>
      <c r="BR150" s="48">
        <v>0</v>
      </c>
      <c r="BS150" s="48">
        <v>0</v>
      </c>
      <c r="BT150" s="48">
        <v>0</v>
      </c>
      <c r="BU150" s="48">
        <v>0</v>
      </c>
      <c r="BV150" s="48">
        <v>0</v>
      </c>
      <c r="BW150" s="48">
        <v>0</v>
      </c>
      <c r="BX150" s="48">
        <v>0</v>
      </c>
      <c r="BY150" s="48">
        <v>0</v>
      </c>
      <c r="BZ150" s="48">
        <v>0</v>
      </c>
      <c r="CA150" s="48">
        <v>0</v>
      </c>
      <c r="CB150" s="48">
        <v>0</v>
      </c>
      <c r="CC150" s="48">
        <v>0</v>
      </c>
      <c r="CD150" s="48">
        <v>0</v>
      </c>
      <c r="CE150" s="48">
        <v>0</v>
      </c>
      <c r="CF150" s="48">
        <v>0</v>
      </c>
      <c r="CG150" s="48">
        <v>0</v>
      </c>
      <c r="CH150" s="48">
        <v>0</v>
      </c>
      <c r="CI150" s="48">
        <v>0</v>
      </c>
      <c r="CJ150" s="48">
        <v>0</v>
      </c>
      <c r="CK150" s="48">
        <v>0</v>
      </c>
      <c r="CL150" s="48">
        <v>0</v>
      </c>
      <c r="CM150" s="48">
        <v>0</v>
      </c>
      <c r="CN150" s="48">
        <v>0</v>
      </c>
    </row>
    <row r="151" spans="5:145" x14ac:dyDescent="0.35">
      <c r="E151" s="13" t="s">
        <v>41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E151" s="13" t="s">
        <v>41</v>
      </c>
      <c r="AF151" s="13" t="s">
        <v>68</v>
      </c>
      <c r="AG151" s="48">
        <v>0</v>
      </c>
      <c r="AH151" s="48">
        <v>0</v>
      </c>
      <c r="AI151" s="48">
        <v>0</v>
      </c>
      <c r="AJ151" s="48">
        <v>0</v>
      </c>
      <c r="AK151" s="48">
        <v>0</v>
      </c>
      <c r="AL151" s="48">
        <v>0</v>
      </c>
      <c r="AM151" s="48">
        <v>0</v>
      </c>
      <c r="AN151" s="48">
        <v>0</v>
      </c>
      <c r="AO151" s="48">
        <v>0</v>
      </c>
      <c r="AP151" s="48">
        <v>0</v>
      </c>
      <c r="AQ151" s="48">
        <v>0</v>
      </c>
      <c r="AR151" s="48">
        <v>0</v>
      </c>
      <c r="AS151" s="48">
        <v>0</v>
      </c>
      <c r="AT151" s="48">
        <v>0</v>
      </c>
      <c r="AU151" s="48">
        <v>0</v>
      </c>
      <c r="AV151" s="48">
        <v>0</v>
      </c>
      <c r="AW151" s="48">
        <v>0</v>
      </c>
      <c r="AX151" s="48">
        <v>0</v>
      </c>
      <c r="AY151" s="48">
        <v>0</v>
      </c>
      <c r="AZ151" s="48">
        <v>0</v>
      </c>
      <c r="BA151" s="48">
        <v>0</v>
      </c>
      <c r="BB151" s="48">
        <v>0</v>
      </c>
      <c r="BC151" s="48">
        <v>0</v>
      </c>
      <c r="BD151" s="48">
        <v>0</v>
      </c>
      <c r="BO151" s="13" t="s">
        <v>41</v>
      </c>
      <c r="BP151" s="13" t="s">
        <v>68</v>
      </c>
      <c r="BQ151" s="48">
        <v>0</v>
      </c>
      <c r="BR151" s="48">
        <v>0</v>
      </c>
      <c r="BS151" s="48">
        <v>0</v>
      </c>
      <c r="BT151" s="48">
        <v>0</v>
      </c>
      <c r="BU151" s="48">
        <v>0</v>
      </c>
      <c r="BV151" s="48">
        <v>0</v>
      </c>
      <c r="BW151" s="48">
        <v>0</v>
      </c>
      <c r="BX151" s="48">
        <v>0</v>
      </c>
      <c r="BY151" s="48">
        <v>0</v>
      </c>
      <c r="BZ151" s="48">
        <v>0</v>
      </c>
      <c r="CA151" s="48">
        <v>0</v>
      </c>
      <c r="CB151" s="48">
        <v>0</v>
      </c>
      <c r="CC151" s="48">
        <v>0</v>
      </c>
      <c r="CD151" s="48">
        <v>0</v>
      </c>
      <c r="CE151" s="48">
        <v>0</v>
      </c>
      <c r="CF151" s="48">
        <v>0</v>
      </c>
      <c r="CG151" s="48">
        <v>0</v>
      </c>
      <c r="CH151" s="48">
        <v>0</v>
      </c>
      <c r="CI151" s="48">
        <v>0</v>
      </c>
      <c r="CJ151" s="48">
        <v>0</v>
      </c>
      <c r="CK151" s="48">
        <v>0</v>
      </c>
      <c r="CL151" s="48">
        <v>0</v>
      </c>
      <c r="CM151" s="48">
        <v>0</v>
      </c>
      <c r="CN151" s="48">
        <v>0</v>
      </c>
    </row>
    <row r="152" spans="5:145" x14ac:dyDescent="0.35">
      <c r="E152" s="13" t="s">
        <v>42</v>
      </c>
      <c r="F152" s="10">
        <v>1</v>
      </c>
      <c r="G152" s="10">
        <v>1</v>
      </c>
      <c r="H152" s="10">
        <v>1</v>
      </c>
      <c r="I152" s="10">
        <v>1</v>
      </c>
      <c r="J152" s="10">
        <v>1</v>
      </c>
      <c r="K152" s="10">
        <v>1</v>
      </c>
      <c r="L152" s="10">
        <v>1</v>
      </c>
      <c r="M152" s="10">
        <v>1</v>
      </c>
      <c r="N152" s="10">
        <v>1</v>
      </c>
      <c r="O152" s="10">
        <v>1</v>
      </c>
      <c r="P152" s="10">
        <v>1</v>
      </c>
      <c r="Q152" s="10">
        <v>1</v>
      </c>
      <c r="R152" s="10">
        <v>1</v>
      </c>
      <c r="S152" s="10">
        <v>1</v>
      </c>
      <c r="T152" s="10">
        <v>1</v>
      </c>
      <c r="U152" s="10">
        <v>1</v>
      </c>
      <c r="V152" s="10">
        <v>1</v>
      </c>
      <c r="W152" s="10">
        <v>1</v>
      </c>
      <c r="X152" s="10">
        <v>1</v>
      </c>
      <c r="Y152" s="10">
        <v>1</v>
      </c>
      <c r="Z152" s="10">
        <v>1</v>
      </c>
      <c r="AA152" s="10">
        <v>1</v>
      </c>
      <c r="AB152" s="10">
        <v>1</v>
      </c>
      <c r="AC152" s="10">
        <v>1</v>
      </c>
      <c r="AE152" s="13" t="s">
        <v>42</v>
      </c>
      <c r="AF152" s="13" t="s">
        <v>61</v>
      </c>
      <c r="AG152" s="48">
        <v>660</v>
      </c>
      <c r="AH152" s="48">
        <v>628.66</v>
      </c>
      <c r="AI152" s="48">
        <v>540</v>
      </c>
      <c r="AJ152" s="48">
        <v>630</v>
      </c>
      <c r="AK152" s="48">
        <v>750</v>
      </c>
      <c r="AL152" s="48">
        <v>870</v>
      </c>
      <c r="AM152" s="48">
        <v>868.89</v>
      </c>
      <c r="AN152" s="48">
        <v>870</v>
      </c>
      <c r="AO152" s="48">
        <v>767.86</v>
      </c>
      <c r="AP152" s="48">
        <v>870</v>
      </c>
      <c r="AQ152" s="48">
        <v>870</v>
      </c>
      <c r="AR152" s="48">
        <v>870</v>
      </c>
      <c r="AS152" s="48">
        <v>870</v>
      </c>
      <c r="AT152" s="48">
        <v>870</v>
      </c>
      <c r="AU152" s="48">
        <v>870</v>
      </c>
      <c r="AV152" s="48">
        <v>870</v>
      </c>
      <c r="AW152" s="48">
        <v>870</v>
      </c>
      <c r="AX152" s="48">
        <v>870</v>
      </c>
      <c r="AY152" s="48">
        <v>870</v>
      </c>
      <c r="AZ152" s="48">
        <v>870</v>
      </c>
      <c r="BA152" s="48">
        <v>870</v>
      </c>
      <c r="BB152" s="48">
        <v>870</v>
      </c>
      <c r="BC152" s="48">
        <v>870</v>
      </c>
      <c r="BD152" s="48">
        <v>801.45</v>
      </c>
      <c r="BO152" s="13" t="s">
        <v>42</v>
      </c>
      <c r="BP152" s="13" t="s">
        <v>61</v>
      </c>
      <c r="BQ152" s="48">
        <v>210</v>
      </c>
      <c r="BR152" s="48">
        <v>241.34</v>
      </c>
      <c r="BS152" s="48">
        <v>330</v>
      </c>
      <c r="BT152" s="48">
        <v>240</v>
      </c>
      <c r="BU152" s="48">
        <v>120</v>
      </c>
      <c r="BV152" s="48">
        <v>0</v>
      </c>
      <c r="BW152" s="48">
        <v>1.1100000000000001</v>
      </c>
      <c r="BX152" s="48">
        <v>0</v>
      </c>
      <c r="BY152" s="48">
        <v>102.14</v>
      </c>
      <c r="BZ152" s="48">
        <v>0</v>
      </c>
      <c r="CA152" s="48">
        <v>0</v>
      </c>
      <c r="CB152" s="48">
        <v>0</v>
      </c>
      <c r="CC152" s="48">
        <v>0</v>
      </c>
      <c r="CD152" s="48">
        <v>0</v>
      </c>
      <c r="CE152" s="48">
        <v>0</v>
      </c>
      <c r="CF152" s="48">
        <v>0</v>
      </c>
      <c r="CG152" s="48">
        <v>0</v>
      </c>
      <c r="CH152" s="48">
        <v>0</v>
      </c>
      <c r="CI152" s="48">
        <v>0</v>
      </c>
      <c r="CJ152" s="48">
        <v>0</v>
      </c>
      <c r="CK152" s="48">
        <v>0</v>
      </c>
      <c r="CL152" s="48">
        <v>0</v>
      </c>
      <c r="CM152" s="48">
        <v>0</v>
      </c>
      <c r="CN152" s="48">
        <v>68.55</v>
      </c>
    </row>
    <row r="153" spans="5:145" x14ac:dyDescent="0.35">
      <c r="E153" s="13" t="s">
        <v>43</v>
      </c>
      <c r="F153" s="10">
        <v>1</v>
      </c>
      <c r="G153" s="10">
        <v>1</v>
      </c>
      <c r="H153" s="10">
        <v>1</v>
      </c>
      <c r="I153" s="10">
        <v>1</v>
      </c>
      <c r="J153" s="10">
        <v>1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1</v>
      </c>
      <c r="Q153" s="10">
        <v>1</v>
      </c>
      <c r="R153" s="10">
        <v>1</v>
      </c>
      <c r="S153" s="10">
        <v>1</v>
      </c>
      <c r="T153" s="10">
        <v>1</v>
      </c>
      <c r="U153" s="10">
        <v>1</v>
      </c>
      <c r="V153" s="10">
        <v>1</v>
      </c>
      <c r="W153" s="10">
        <v>1</v>
      </c>
      <c r="X153" s="10">
        <v>1</v>
      </c>
      <c r="Y153" s="10">
        <v>1</v>
      </c>
      <c r="Z153" s="10">
        <v>1</v>
      </c>
      <c r="AA153" s="10">
        <v>1</v>
      </c>
      <c r="AB153" s="10">
        <v>1</v>
      </c>
      <c r="AC153" s="10">
        <v>1</v>
      </c>
      <c r="AE153" s="13" t="s">
        <v>43</v>
      </c>
      <c r="AF153" s="13" t="s">
        <v>69</v>
      </c>
      <c r="AG153" s="48">
        <v>720</v>
      </c>
      <c r="AH153" s="48">
        <v>840</v>
      </c>
      <c r="AI153" s="48">
        <v>720</v>
      </c>
      <c r="AJ153" s="48">
        <v>600</v>
      </c>
      <c r="AK153" s="48">
        <v>600</v>
      </c>
      <c r="AL153" s="48">
        <v>720</v>
      </c>
      <c r="AM153" s="48">
        <v>840</v>
      </c>
      <c r="AN153" s="48">
        <v>787.36</v>
      </c>
      <c r="AO153" s="48">
        <v>840</v>
      </c>
      <c r="AP153" s="48">
        <v>840</v>
      </c>
      <c r="AQ153" s="48">
        <v>840</v>
      </c>
      <c r="AR153" s="48">
        <v>840</v>
      </c>
      <c r="AS153" s="48">
        <v>840</v>
      </c>
      <c r="AT153" s="48">
        <v>840</v>
      </c>
      <c r="AU153" s="48">
        <v>840</v>
      </c>
      <c r="AV153" s="48">
        <v>840</v>
      </c>
      <c r="AW153" s="48">
        <v>840</v>
      </c>
      <c r="AX153" s="48">
        <v>840</v>
      </c>
      <c r="AY153" s="48">
        <v>840</v>
      </c>
      <c r="AZ153" s="48">
        <v>840</v>
      </c>
      <c r="BA153" s="48">
        <v>840</v>
      </c>
      <c r="BB153" s="48">
        <v>840</v>
      </c>
      <c r="BC153" s="48">
        <v>840</v>
      </c>
      <c r="BD153" s="48">
        <v>840</v>
      </c>
      <c r="BO153" s="13" t="s">
        <v>43</v>
      </c>
      <c r="BP153" s="13" t="s">
        <v>69</v>
      </c>
      <c r="BQ153" s="48">
        <v>120</v>
      </c>
      <c r="BR153" s="48">
        <v>0</v>
      </c>
      <c r="BS153" s="48">
        <v>120</v>
      </c>
      <c r="BT153" s="48">
        <v>240</v>
      </c>
      <c r="BU153" s="48">
        <v>240</v>
      </c>
      <c r="BV153" s="48">
        <v>120</v>
      </c>
      <c r="BW153" s="48">
        <v>0</v>
      </c>
      <c r="BX153" s="48">
        <v>52.64</v>
      </c>
      <c r="BY153" s="48">
        <v>0</v>
      </c>
      <c r="BZ153" s="48">
        <v>0</v>
      </c>
      <c r="CA153" s="48">
        <v>0</v>
      </c>
      <c r="CB153" s="48">
        <v>0</v>
      </c>
      <c r="CC153" s="48">
        <v>0</v>
      </c>
      <c r="CD153" s="48">
        <v>0</v>
      </c>
      <c r="CE153" s="48">
        <v>0</v>
      </c>
      <c r="CF153" s="48">
        <v>0</v>
      </c>
      <c r="CG153" s="48">
        <v>0</v>
      </c>
      <c r="CH153" s="48">
        <v>0</v>
      </c>
      <c r="CI153" s="48">
        <v>0</v>
      </c>
      <c r="CJ153" s="48">
        <v>0</v>
      </c>
      <c r="CK153" s="48">
        <v>0</v>
      </c>
      <c r="CL153" s="48">
        <v>0</v>
      </c>
      <c r="CM153" s="48">
        <v>0</v>
      </c>
      <c r="CN153" s="48">
        <v>0</v>
      </c>
    </row>
    <row r="154" spans="5:145" x14ac:dyDescent="0.35">
      <c r="AE154" s="13" t="s">
        <v>169</v>
      </c>
      <c r="AF154" s="13" t="s">
        <v>168</v>
      </c>
      <c r="AG154" s="48">
        <v>400</v>
      </c>
      <c r="AH154" s="48">
        <v>338.51</v>
      </c>
      <c r="AI154" s="48">
        <v>347.43</v>
      </c>
      <c r="AJ154" s="48">
        <v>333.57</v>
      </c>
      <c r="AK154" s="48">
        <v>371.75</v>
      </c>
      <c r="AL154" s="48">
        <v>272.38</v>
      </c>
      <c r="AM154" s="48">
        <v>309.17</v>
      </c>
      <c r="AN154" s="48">
        <v>237.33</v>
      </c>
      <c r="AO154" s="48">
        <v>308.58999999999997</v>
      </c>
      <c r="AP154" s="48">
        <v>390.99</v>
      </c>
      <c r="AQ154" s="48">
        <v>288.67</v>
      </c>
      <c r="AR154" s="48">
        <v>180.56</v>
      </c>
      <c r="AS154" s="48">
        <v>118.54</v>
      </c>
      <c r="AT154" s="48">
        <v>134.03</v>
      </c>
      <c r="AU154" s="48">
        <v>127.09</v>
      </c>
      <c r="AV154" s="48">
        <v>101.32</v>
      </c>
      <c r="AW154" s="48">
        <v>185.4</v>
      </c>
      <c r="AX154" s="48">
        <v>217.23</v>
      </c>
      <c r="AY154" s="48">
        <v>233.7</v>
      </c>
      <c r="AZ154" s="48">
        <v>266.38</v>
      </c>
      <c r="BA154" s="48">
        <v>255.5</v>
      </c>
      <c r="BB154" s="48">
        <v>197.37</v>
      </c>
      <c r="BC154" s="48">
        <v>219.46</v>
      </c>
      <c r="BD154" s="48">
        <v>140.31</v>
      </c>
    </row>
    <row r="158" spans="5:145" x14ac:dyDescent="0.35">
      <c r="AE158" s="62" t="s">
        <v>44</v>
      </c>
      <c r="AF158" s="63"/>
      <c r="AG158" s="66" t="s">
        <v>22</v>
      </c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6"/>
      <c r="AW158" s="66"/>
      <c r="AX158" s="66"/>
      <c r="AY158" s="66"/>
      <c r="AZ158" s="66"/>
      <c r="BA158" s="66"/>
      <c r="BB158" s="66"/>
      <c r="BC158" s="66"/>
      <c r="BD158" s="66"/>
      <c r="BO158" s="62" t="s">
        <v>44</v>
      </c>
      <c r="BP158" s="63"/>
      <c r="BQ158" s="66" t="s">
        <v>22</v>
      </c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DQ158" s="67" t="s">
        <v>146</v>
      </c>
      <c r="DR158" s="67" t="s">
        <v>22</v>
      </c>
      <c r="DS158" s="67"/>
      <c r="DT158" s="67"/>
      <c r="DU158" s="67"/>
      <c r="DV158" s="67"/>
      <c r="DW158" s="67"/>
      <c r="DX158" s="67"/>
      <c r="DY158" s="67"/>
      <c r="DZ158" s="67"/>
      <c r="EA158" s="67"/>
      <c r="EB158" s="67"/>
      <c r="EC158" s="67"/>
      <c r="ED158" s="67"/>
      <c r="EE158" s="67"/>
      <c r="EF158" s="67"/>
      <c r="EG158" s="67"/>
      <c r="EH158" s="67"/>
      <c r="EI158" s="67"/>
      <c r="EJ158" s="67"/>
      <c r="EK158" s="67"/>
      <c r="EL158" s="67"/>
      <c r="EM158" s="67"/>
      <c r="EN158" s="67"/>
      <c r="EO158" s="67"/>
    </row>
    <row r="159" spans="5:145" x14ac:dyDescent="0.35">
      <c r="AE159" s="64"/>
      <c r="AF159" s="65"/>
      <c r="AG159" s="14">
        <v>1</v>
      </c>
      <c r="AH159" s="14">
        <v>2</v>
      </c>
      <c r="AI159" s="14">
        <v>3</v>
      </c>
      <c r="AJ159" s="14">
        <v>4</v>
      </c>
      <c r="AK159" s="14">
        <v>5</v>
      </c>
      <c r="AL159" s="14">
        <v>6</v>
      </c>
      <c r="AM159" s="14">
        <v>7</v>
      </c>
      <c r="AN159" s="14">
        <v>8</v>
      </c>
      <c r="AO159" s="14">
        <v>9</v>
      </c>
      <c r="AP159" s="14">
        <v>10</v>
      </c>
      <c r="AQ159" s="14">
        <v>11</v>
      </c>
      <c r="AR159" s="14">
        <v>12</v>
      </c>
      <c r="AS159" s="14">
        <v>13</v>
      </c>
      <c r="AT159" s="14">
        <v>14</v>
      </c>
      <c r="AU159" s="14">
        <v>15</v>
      </c>
      <c r="AV159" s="14">
        <v>16</v>
      </c>
      <c r="AW159" s="14">
        <v>17</v>
      </c>
      <c r="AX159" s="14">
        <v>18</v>
      </c>
      <c r="AY159" s="14">
        <v>19</v>
      </c>
      <c r="AZ159" s="14">
        <v>20</v>
      </c>
      <c r="BA159" s="14">
        <v>21</v>
      </c>
      <c r="BB159" s="14">
        <v>22</v>
      </c>
      <c r="BC159" s="14">
        <v>23</v>
      </c>
      <c r="BD159" s="14">
        <v>24</v>
      </c>
      <c r="BO159" s="64"/>
      <c r="BP159" s="65"/>
      <c r="BQ159" s="14">
        <v>1</v>
      </c>
      <c r="BR159" s="14">
        <v>2</v>
      </c>
      <c r="BS159" s="14">
        <v>3</v>
      </c>
      <c r="BT159" s="14">
        <v>4</v>
      </c>
      <c r="BU159" s="14">
        <v>5</v>
      </c>
      <c r="BV159" s="14">
        <v>6</v>
      </c>
      <c r="BW159" s="14">
        <v>7</v>
      </c>
      <c r="BX159" s="14">
        <v>8</v>
      </c>
      <c r="BY159" s="14">
        <v>9</v>
      </c>
      <c r="BZ159" s="14">
        <v>10</v>
      </c>
      <c r="CA159" s="14">
        <v>11</v>
      </c>
      <c r="CB159" s="14">
        <v>12</v>
      </c>
      <c r="CC159" s="14">
        <v>13</v>
      </c>
      <c r="CD159" s="14">
        <v>14</v>
      </c>
      <c r="CE159" s="14">
        <v>15</v>
      </c>
      <c r="CF159" s="14">
        <v>16</v>
      </c>
      <c r="CG159" s="14">
        <v>17</v>
      </c>
      <c r="CH159" s="14">
        <v>18</v>
      </c>
      <c r="CI159" s="14">
        <v>19</v>
      </c>
      <c r="CJ159" s="14">
        <v>20</v>
      </c>
      <c r="CK159" s="14">
        <v>21</v>
      </c>
      <c r="CL159" s="14">
        <v>22</v>
      </c>
      <c r="CM159" s="14">
        <v>23</v>
      </c>
      <c r="CN159" s="14">
        <v>24</v>
      </c>
      <c r="DQ159" s="67"/>
      <c r="DR159" s="16">
        <v>1</v>
      </c>
      <c r="DS159" s="16">
        <v>2</v>
      </c>
      <c r="DT159" s="16">
        <v>3</v>
      </c>
      <c r="DU159" s="16">
        <v>4</v>
      </c>
      <c r="DV159" s="16">
        <v>5</v>
      </c>
      <c r="DW159" s="16">
        <v>6</v>
      </c>
      <c r="DX159" s="16">
        <v>7</v>
      </c>
      <c r="DY159" s="16">
        <v>8</v>
      </c>
      <c r="DZ159" s="16">
        <v>9</v>
      </c>
      <c r="EA159" s="16">
        <v>10</v>
      </c>
      <c r="EB159" s="16">
        <v>11</v>
      </c>
      <c r="EC159" s="16">
        <v>12</v>
      </c>
      <c r="ED159" s="16">
        <v>13</v>
      </c>
      <c r="EE159" s="16">
        <v>14</v>
      </c>
      <c r="EF159" s="16">
        <v>15</v>
      </c>
      <c r="EG159" s="16">
        <v>16</v>
      </c>
      <c r="EH159" s="16">
        <v>17</v>
      </c>
      <c r="EI159" s="16">
        <v>18</v>
      </c>
      <c r="EJ159" s="16">
        <v>19</v>
      </c>
      <c r="EK159" s="16">
        <v>20</v>
      </c>
      <c r="EL159" s="16">
        <v>21</v>
      </c>
      <c r="EM159" s="16">
        <v>22</v>
      </c>
      <c r="EN159" s="16">
        <v>23</v>
      </c>
      <c r="EO159" s="16">
        <v>24</v>
      </c>
    </row>
    <row r="160" spans="5:145" x14ac:dyDescent="0.35">
      <c r="AE160" s="13" t="s">
        <v>34</v>
      </c>
      <c r="AF160" s="13" t="s">
        <v>60</v>
      </c>
      <c r="AG160" s="48">
        <v>1056</v>
      </c>
      <c r="AH160" s="48">
        <v>940.8</v>
      </c>
      <c r="AI160" s="48">
        <v>820.8</v>
      </c>
      <c r="AJ160" s="48">
        <v>700.8</v>
      </c>
      <c r="AK160" s="48">
        <v>627</v>
      </c>
      <c r="AL160" s="48">
        <v>745.98</v>
      </c>
      <c r="AM160" s="48">
        <v>745.98</v>
      </c>
      <c r="AN160" s="48">
        <v>745.98</v>
      </c>
      <c r="AO160" s="48">
        <v>673.98</v>
      </c>
      <c r="AP160" s="48">
        <v>633.59</v>
      </c>
      <c r="AQ160" s="48">
        <v>673.98</v>
      </c>
      <c r="AR160" s="48">
        <v>673.98</v>
      </c>
      <c r="AS160" s="48">
        <v>745.98</v>
      </c>
      <c r="AT160" s="48">
        <v>772.8</v>
      </c>
      <c r="AU160" s="48">
        <v>820.8</v>
      </c>
      <c r="AV160" s="48">
        <v>940.8</v>
      </c>
      <c r="AW160" s="48">
        <v>940.8</v>
      </c>
      <c r="AX160" s="48">
        <v>909.83</v>
      </c>
      <c r="AY160" s="48">
        <v>789.83</v>
      </c>
      <c r="AZ160" s="48">
        <v>759.59</v>
      </c>
      <c r="BA160" s="48">
        <v>656.22</v>
      </c>
      <c r="BB160" s="48">
        <v>745.98</v>
      </c>
      <c r="BC160" s="48">
        <v>633.59</v>
      </c>
      <c r="BD160" s="48">
        <v>705.86</v>
      </c>
      <c r="BO160" s="13" t="s">
        <v>34</v>
      </c>
      <c r="BP160" s="13" t="s">
        <v>60</v>
      </c>
      <c r="BQ160" s="48">
        <v>120</v>
      </c>
      <c r="BR160" s="48">
        <v>23.63</v>
      </c>
      <c r="BS160" s="48">
        <v>135.24</v>
      </c>
      <c r="BT160" s="48">
        <v>268.2</v>
      </c>
      <c r="BU160" s="48">
        <v>335.41</v>
      </c>
      <c r="BV160" s="48">
        <v>223.02</v>
      </c>
      <c r="BW160" s="48">
        <v>223.02</v>
      </c>
      <c r="BX160" s="48">
        <v>223.02</v>
      </c>
      <c r="BY160" s="48">
        <v>295.02</v>
      </c>
      <c r="BZ160" s="48">
        <v>335.41</v>
      </c>
      <c r="CA160" s="48">
        <v>335.41</v>
      </c>
      <c r="CB160" s="48">
        <v>295.02</v>
      </c>
      <c r="CC160" s="48">
        <v>223.02</v>
      </c>
      <c r="CD160" s="48">
        <v>196.2</v>
      </c>
      <c r="CE160" s="48">
        <v>148.19999999999999</v>
      </c>
      <c r="CF160" s="48">
        <v>154.19999999999999</v>
      </c>
      <c r="CG160" s="48">
        <v>28.2</v>
      </c>
      <c r="CH160" s="48">
        <v>71.97</v>
      </c>
      <c r="CI160" s="48">
        <v>179.17</v>
      </c>
      <c r="CJ160" s="48">
        <v>335.41</v>
      </c>
      <c r="CK160" s="48">
        <v>312.77999999999997</v>
      </c>
      <c r="CL160" s="48">
        <v>305.20999999999998</v>
      </c>
      <c r="CM160" s="48">
        <v>335.41</v>
      </c>
      <c r="CN160" s="48">
        <v>246.01</v>
      </c>
      <c r="DQ160" s="35" t="s">
        <v>170</v>
      </c>
      <c r="DR160" s="56">
        <v>80</v>
      </c>
      <c r="DS160" s="56">
        <v>-80</v>
      </c>
      <c r="DT160" s="56">
        <v>4.5</v>
      </c>
      <c r="DU160" s="56">
        <v>80</v>
      </c>
      <c r="DV160" s="56">
        <v>80</v>
      </c>
      <c r="DW160" s="56">
        <v>-20</v>
      </c>
      <c r="DX160" s="56">
        <v>-80</v>
      </c>
      <c r="DY160" s="56">
        <v>80</v>
      </c>
      <c r="DZ160" s="56">
        <v>20</v>
      </c>
      <c r="EA160" s="56">
        <v>0</v>
      </c>
      <c r="EB160" s="56">
        <v>-13.6699064750934</v>
      </c>
      <c r="EC160" s="56">
        <v>-66.330093524906601</v>
      </c>
      <c r="ED160" s="56">
        <v>80</v>
      </c>
      <c r="EE160" s="56">
        <v>0</v>
      </c>
      <c r="EF160" s="56">
        <v>0</v>
      </c>
      <c r="EG160" s="56">
        <v>0</v>
      </c>
      <c r="EH160" s="56">
        <v>-20</v>
      </c>
      <c r="EI160" s="56">
        <v>0</v>
      </c>
      <c r="EJ160" s="56">
        <v>0</v>
      </c>
      <c r="EK160" s="56">
        <v>0</v>
      </c>
      <c r="EL160" s="56">
        <v>-19.5</v>
      </c>
      <c r="EM160" s="56">
        <v>-80</v>
      </c>
      <c r="EN160" s="56">
        <v>1.1699021037215971</v>
      </c>
      <c r="EO160" s="56">
        <v>-46.169902103721597</v>
      </c>
    </row>
    <row r="161" spans="31:145" x14ac:dyDescent="0.35">
      <c r="AE161" s="13" t="s">
        <v>35</v>
      </c>
      <c r="AF161" s="13" t="s">
        <v>62</v>
      </c>
      <c r="AG161" s="48">
        <v>340</v>
      </c>
      <c r="AH161" s="48">
        <v>340</v>
      </c>
      <c r="AI161" s="48">
        <v>340</v>
      </c>
      <c r="AJ161" s="48">
        <v>340</v>
      </c>
      <c r="AK161" s="48">
        <v>340</v>
      </c>
      <c r="AL161" s="48">
        <v>340</v>
      </c>
      <c r="AM161" s="48">
        <v>340</v>
      </c>
      <c r="AN161" s="48">
        <v>340</v>
      </c>
      <c r="AO161" s="48">
        <v>340</v>
      </c>
      <c r="AP161" s="48">
        <v>340</v>
      </c>
      <c r="AQ161" s="48">
        <v>487.02</v>
      </c>
      <c r="AR161" s="48">
        <v>340</v>
      </c>
      <c r="AS161" s="48">
        <v>509.26</v>
      </c>
      <c r="AT161" s="48">
        <v>588</v>
      </c>
      <c r="AU161" s="48">
        <v>535.11</v>
      </c>
      <c r="AV161" s="48">
        <v>384.04</v>
      </c>
      <c r="AW161" s="48">
        <v>600</v>
      </c>
      <c r="AX161" s="48">
        <v>900</v>
      </c>
      <c r="AY161" s="48">
        <v>600</v>
      </c>
      <c r="AZ161" s="48">
        <v>588.78</v>
      </c>
      <c r="BA161" s="48">
        <v>360.46</v>
      </c>
      <c r="BB161" s="48">
        <v>463.51</v>
      </c>
      <c r="BC161" s="48">
        <v>340</v>
      </c>
      <c r="BD161" s="48">
        <v>0</v>
      </c>
      <c r="BO161" s="13" t="s">
        <v>35</v>
      </c>
      <c r="BP161" s="13" t="s">
        <v>62</v>
      </c>
      <c r="BQ161" s="48">
        <v>84.87</v>
      </c>
      <c r="BR161" s="48">
        <v>81.8</v>
      </c>
      <c r="BS161" s="48">
        <v>81.8</v>
      </c>
      <c r="BT161" s="48">
        <v>81.8</v>
      </c>
      <c r="BU161" s="48">
        <v>81.8</v>
      </c>
      <c r="BV161" s="48">
        <v>81.8</v>
      </c>
      <c r="BW161" s="48">
        <v>81.8</v>
      </c>
      <c r="BX161" s="48">
        <v>81.8</v>
      </c>
      <c r="BY161" s="48">
        <v>81.8</v>
      </c>
      <c r="BZ161" s="48">
        <v>81.8</v>
      </c>
      <c r="CA161" s="48">
        <v>81.8</v>
      </c>
      <c r="CB161" s="48">
        <v>81.8</v>
      </c>
      <c r="CC161" s="48">
        <v>81.8</v>
      </c>
      <c r="CD161" s="48">
        <v>81.8</v>
      </c>
      <c r="CE161" s="48">
        <v>81.8</v>
      </c>
      <c r="CF161" s="48">
        <v>81.8</v>
      </c>
      <c r="CG161" s="48">
        <v>81.8</v>
      </c>
      <c r="CH161" s="48">
        <v>81.8</v>
      </c>
      <c r="CI161" s="48">
        <v>81.8</v>
      </c>
      <c r="CJ161" s="48">
        <v>81.8</v>
      </c>
      <c r="CK161" s="48">
        <v>81.8</v>
      </c>
      <c r="CL161" s="48">
        <v>81.8</v>
      </c>
      <c r="CM161" s="48">
        <v>81.8</v>
      </c>
      <c r="CN161" s="48">
        <v>0</v>
      </c>
      <c r="DQ161" s="35" t="s">
        <v>147</v>
      </c>
      <c r="DR161" s="56">
        <v>120.5</v>
      </c>
      <c r="DS161" s="56">
        <v>40.5</v>
      </c>
      <c r="DT161" s="56">
        <v>45</v>
      </c>
      <c r="DU161" s="56">
        <v>125</v>
      </c>
      <c r="DV161" s="56">
        <v>205</v>
      </c>
      <c r="DW161" s="56">
        <v>185</v>
      </c>
      <c r="DX161" s="56">
        <v>105</v>
      </c>
      <c r="DY161" s="56">
        <v>185</v>
      </c>
      <c r="DZ161" s="56">
        <v>205</v>
      </c>
      <c r="EA161" s="56">
        <v>205</v>
      </c>
      <c r="EB161" s="56">
        <v>191.3300935249066</v>
      </c>
      <c r="EC161" s="56">
        <v>125</v>
      </c>
      <c r="ED161" s="56">
        <v>205</v>
      </c>
      <c r="EE161" s="56">
        <v>205</v>
      </c>
      <c r="EF161" s="56">
        <v>205</v>
      </c>
      <c r="EG161" s="56">
        <v>205</v>
      </c>
      <c r="EH161" s="56">
        <v>185</v>
      </c>
      <c r="EI161" s="56">
        <v>185</v>
      </c>
      <c r="EJ161" s="56">
        <v>185</v>
      </c>
      <c r="EK161" s="56">
        <v>185</v>
      </c>
      <c r="EL161" s="56">
        <v>165.5</v>
      </c>
      <c r="EM161" s="56">
        <v>85.5</v>
      </c>
      <c r="EN161" s="56">
        <v>86.669902103721597</v>
      </c>
      <c r="EO161" s="56">
        <v>40.5</v>
      </c>
    </row>
    <row r="162" spans="31:145" x14ac:dyDescent="0.35">
      <c r="AE162" s="13" t="s">
        <v>36</v>
      </c>
      <c r="AF162" s="13" t="s">
        <v>63</v>
      </c>
      <c r="AG162" s="48">
        <v>720</v>
      </c>
      <c r="AH162" s="48">
        <v>769.62</v>
      </c>
      <c r="AI162" s="48">
        <v>829.68</v>
      </c>
      <c r="AJ162" s="48">
        <v>921.01</v>
      </c>
      <c r="AK162" s="48">
        <v>969</v>
      </c>
      <c r="AL162" s="48">
        <v>969</v>
      </c>
      <c r="AM162" s="48">
        <v>969</v>
      </c>
      <c r="AN162" s="48">
        <v>969</v>
      </c>
      <c r="AO162" s="48">
        <v>969</v>
      </c>
      <c r="AP162" s="48">
        <v>969</v>
      </c>
      <c r="AQ162" s="48">
        <v>969</v>
      </c>
      <c r="AR162" s="48">
        <v>969</v>
      </c>
      <c r="AS162" s="48">
        <v>969</v>
      </c>
      <c r="AT162" s="48">
        <v>942.18</v>
      </c>
      <c r="AU162" s="48">
        <v>822.18</v>
      </c>
      <c r="AV162" s="48">
        <v>747.93</v>
      </c>
      <c r="AW162" s="48">
        <v>747.93</v>
      </c>
      <c r="AX162" s="48">
        <v>775.2</v>
      </c>
      <c r="AY162" s="48">
        <v>763.4</v>
      </c>
      <c r="AZ162" s="48">
        <v>883.4</v>
      </c>
      <c r="BA162" s="48">
        <v>969</v>
      </c>
      <c r="BB162" s="48">
        <v>969</v>
      </c>
      <c r="BC162" s="48">
        <v>871.64</v>
      </c>
      <c r="BD162" s="48">
        <v>789.72</v>
      </c>
      <c r="BO162" s="13" t="s">
        <v>36</v>
      </c>
      <c r="BP162" s="13" t="s">
        <v>63</v>
      </c>
      <c r="BQ162" s="48">
        <v>229.38</v>
      </c>
      <c r="BR162" s="48">
        <v>194.82</v>
      </c>
      <c r="BS162" s="48">
        <v>126.36</v>
      </c>
      <c r="BT162" s="48">
        <v>47.99</v>
      </c>
      <c r="BU162" s="48">
        <v>0</v>
      </c>
      <c r="BV162" s="48">
        <v>0</v>
      </c>
      <c r="BW162" s="48">
        <v>0</v>
      </c>
      <c r="BX162" s="48">
        <v>0</v>
      </c>
      <c r="BY162" s="48">
        <v>0</v>
      </c>
      <c r="BZ162" s="48">
        <v>0</v>
      </c>
      <c r="CA162" s="48">
        <v>0</v>
      </c>
      <c r="CB162" s="48">
        <v>0</v>
      </c>
      <c r="CC162" s="48">
        <v>0</v>
      </c>
      <c r="CD162" s="48">
        <v>26.82</v>
      </c>
      <c r="CE162" s="48">
        <v>146.82</v>
      </c>
      <c r="CF162" s="48">
        <v>221.07</v>
      </c>
      <c r="CG162" s="48">
        <v>221.07</v>
      </c>
      <c r="CH162" s="48">
        <v>193.8</v>
      </c>
      <c r="CI162" s="48">
        <v>205.6</v>
      </c>
      <c r="CJ162" s="48">
        <v>85.6</v>
      </c>
      <c r="CK162" s="48">
        <v>0</v>
      </c>
      <c r="CL162" s="48">
        <v>0</v>
      </c>
      <c r="CM162" s="48">
        <v>97.36</v>
      </c>
      <c r="CN162" s="48">
        <v>162.13999999999999</v>
      </c>
    </row>
    <row r="163" spans="31:145" x14ac:dyDescent="0.35">
      <c r="AE163" s="13" t="s">
        <v>37</v>
      </c>
      <c r="AF163" s="13" t="s">
        <v>64</v>
      </c>
      <c r="AG163" s="48">
        <v>85</v>
      </c>
      <c r="AH163" s="48">
        <v>0</v>
      </c>
      <c r="AI163" s="48">
        <v>0</v>
      </c>
      <c r="AJ163" s="48">
        <v>0</v>
      </c>
      <c r="AK163" s="48">
        <v>0</v>
      </c>
      <c r="AL163" s="48">
        <v>0</v>
      </c>
      <c r="AM163" s="48">
        <v>0</v>
      </c>
      <c r="AN163" s="48">
        <v>0</v>
      </c>
      <c r="AO163" s="48">
        <v>0</v>
      </c>
      <c r="AP163" s="48">
        <v>0</v>
      </c>
      <c r="AQ163" s="48">
        <v>0</v>
      </c>
      <c r="AR163" s="48">
        <v>0</v>
      </c>
      <c r="AS163" s="48">
        <v>0</v>
      </c>
      <c r="AT163" s="48">
        <v>0</v>
      </c>
      <c r="AU163" s="48">
        <v>0</v>
      </c>
      <c r="AV163" s="48">
        <v>0</v>
      </c>
      <c r="AW163" s="48">
        <v>0</v>
      </c>
      <c r="AX163" s="48">
        <v>0</v>
      </c>
      <c r="AY163" s="48">
        <v>0</v>
      </c>
      <c r="AZ163" s="48">
        <v>0</v>
      </c>
      <c r="BA163" s="48">
        <v>0</v>
      </c>
      <c r="BB163" s="48">
        <v>0</v>
      </c>
      <c r="BC163" s="48">
        <v>0</v>
      </c>
      <c r="BD163" s="48">
        <v>0</v>
      </c>
      <c r="BO163" s="13" t="s">
        <v>37</v>
      </c>
      <c r="BP163" s="13" t="s">
        <v>64</v>
      </c>
      <c r="BQ163" s="48">
        <v>19.62</v>
      </c>
      <c r="BR163" s="48">
        <v>0</v>
      </c>
      <c r="BS163" s="48">
        <v>0</v>
      </c>
      <c r="BT163" s="48">
        <v>0</v>
      </c>
      <c r="BU163" s="48">
        <v>0</v>
      </c>
      <c r="BV163" s="48">
        <v>0</v>
      </c>
      <c r="BW163" s="48">
        <v>0</v>
      </c>
      <c r="BX163" s="48">
        <v>0</v>
      </c>
      <c r="BY163" s="48">
        <v>0</v>
      </c>
      <c r="BZ163" s="48">
        <v>0</v>
      </c>
      <c r="CA163" s="48">
        <v>0</v>
      </c>
      <c r="CB163" s="48">
        <v>0</v>
      </c>
      <c r="CC163" s="48">
        <v>0</v>
      </c>
      <c r="CD163" s="48">
        <v>0</v>
      </c>
      <c r="CE163" s="48">
        <v>0</v>
      </c>
      <c r="CF163" s="48">
        <v>0</v>
      </c>
      <c r="CG163" s="48">
        <v>0</v>
      </c>
      <c r="CH163" s="48">
        <v>0</v>
      </c>
      <c r="CI163" s="48">
        <v>0</v>
      </c>
      <c r="CJ163" s="48">
        <v>0</v>
      </c>
      <c r="CK163" s="48">
        <v>0</v>
      </c>
      <c r="CL163" s="48">
        <v>0</v>
      </c>
      <c r="CM163" s="48">
        <v>0</v>
      </c>
      <c r="CN163" s="48">
        <v>0</v>
      </c>
    </row>
    <row r="164" spans="31:145" x14ac:dyDescent="0.35">
      <c r="AE164" s="13" t="s">
        <v>38</v>
      </c>
      <c r="AF164" s="13" t="s">
        <v>65</v>
      </c>
      <c r="AG164" s="48">
        <v>66</v>
      </c>
      <c r="AH164" s="48">
        <v>0</v>
      </c>
      <c r="AI164" s="48">
        <v>0</v>
      </c>
      <c r="AJ164" s="48">
        <v>0</v>
      </c>
      <c r="AK164" s="48">
        <v>0</v>
      </c>
      <c r="AL164" s="48">
        <v>0</v>
      </c>
      <c r="AM164" s="48">
        <v>0</v>
      </c>
      <c r="AN164" s="48">
        <v>0</v>
      </c>
      <c r="AO164" s="48">
        <v>0</v>
      </c>
      <c r="AP164" s="48">
        <v>0</v>
      </c>
      <c r="AQ164" s="48">
        <v>0</v>
      </c>
      <c r="AR164" s="48">
        <v>0</v>
      </c>
      <c r="AS164" s="48">
        <v>0</v>
      </c>
      <c r="AT164" s="48">
        <v>0</v>
      </c>
      <c r="AU164" s="48">
        <v>0</v>
      </c>
      <c r="AV164" s="48">
        <v>0</v>
      </c>
      <c r="AW164" s="48">
        <v>0</v>
      </c>
      <c r="AX164" s="48">
        <v>0</v>
      </c>
      <c r="AY164" s="48">
        <v>0</v>
      </c>
      <c r="AZ164" s="48">
        <v>0</v>
      </c>
      <c r="BA164" s="48">
        <v>0</v>
      </c>
      <c r="BB164" s="48">
        <v>0</v>
      </c>
      <c r="BC164" s="48">
        <v>0</v>
      </c>
      <c r="BD164" s="48">
        <v>0</v>
      </c>
      <c r="BO164" s="13" t="s">
        <v>38</v>
      </c>
      <c r="BP164" s="13" t="s">
        <v>65</v>
      </c>
      <c r="BQ164" s="48">
        <v>42</v>
      </c>
      <c r="BR164" s="48">
        <v>0</v>
      </c>
      <c r="BS164" s="48">
        <v>0</v>
      </c>
      <c r="BT164" s="48">
        <v>0</v>
      </c>
      <c r="BU164" s="48">
        <v>0</v>
      </c>
      <c r="BV164" s="48">
        <v>0</v>
      </c>
      <c r="BW164" s="48">
        <v>0</v>
      </c>
      <c r="BX164" s="48">
        <v>0</v>
      </c>
      <c r="BY164" s="48">
        <v>0</v>
      </c>
      <c r="BZ164" s="48">
        <v>0</v>
      </c>
      <c r="CA164" s="48">
        <v>0</v>
      </c>
      <c r="CB164" s="48">
        <v>0</v>
      </c>
      <c r="CC164" s="48">
        <v>0</v>
      </c>
      <c r="CD164" s="48">
        <v>0</v>
      </c>
      <c r="CE164" s="48">
        <v>0</v>
      </c>
      <c r="CF164" s="48">
        <v>0</v>
      </c>
      <c r="CG164" s="48">
        <v>0</v>
      </c>
      <c r="CH164" s="48">
        <v>0</v>
      </c>
      <c r="CI164" s="48">
        <v>0</v>
      </c>
      <c r="CJ164" s="48">
        <v>0</v>
      </c>
      <c r="CK164" s="48">
        <v>0</v>
      </c>
      <c r="CL164" s="48">
        <v>0</v>
      </c>
      <c r="CM164" s="48">
        <v>0</v>
      </c>
      <c r="CN164" s="48">
        <v>0</v>
      </c>
    </row>
    <row r="165" spans="31:145" x14ac:dyDescent="0.35">
      <c r="AE165" s="13" t="s">
        <v>39</v>
      </c>
      <c r="AF165" s="13" t="s">
        <v>66</v>
      </c>
      <c r="AG165" s="48">
        <v>250</v>
      </c>
      <c r="AH165" s="48">
        <v>250</v>
      </c>
      <c r="AI165" s="48">
        <v>250</v>
      </c>
      <c r="AJ165" s="48">
        <v>250</v>
      </c>
      <c r="AK165" s="48">
        <v>250</v>
      </c>
      <c r="AL165" s="48">
        <v>250</v>
      </c>
      <c r="AM165" s="48">
        <v>366.52</v>
      </c>
      <c r="AN165" s="48">
        <v>250</v>
      </c>
      <c r="AO165" s="48">
        <v>550</v>
      </c>
      <c r="AP165" s="48">
        <v>850</v>
      </c>
      <c r="AQ165" s="48">
        <v>922.41</v>
      </c>
      <c r="AR165" s="48">
        <v>876</v>
      </c>
      <c r="AS165" s="48">
        <v>576</v>
      </c>
      <c r="AT165" s="48">
        <v>876</v>
      </c>
      <c r="AU165" s="48">
        <v>876</v>
      </c>
      <c r="AV165" s="48">
        <v>1008.01</v>
      </c>
      <c r="AW165" s="48">
        <v>882.01</v>
      </c>
      <c r="AX165" s="48">
        <v>582.01</v>
      </c>
      <c r="AY165" s="48">
        <v>882.01</v>
      </c>
      <c r="AZ165" s="48">
        <v>1008.01</v>
      </c>
      <c r="BA165" s="48">
        <v>876</v>
      </c>
      <c r="BB165" s="48">
        <v>964.2</v>
      </c>
      <c r="BC165" s="48">
        <v>876</v>
      </c>
      <c r="BD165" s="48">
        <v>882.25</v>
      </c>
      <c r="BO165" s="13" t="s">
        <v>39</v>
      </c>
      <c r="BP165" s="13" t="s">
        <v>66</v>
      </c>
      <c r="BQ165" s="48">
        <v>90.26</v>
      </c>
      <c r="BR165" s="48">
        <v>86.99</v>
      </c>
      <c r="BS165" s="48">
        <v>86.99</v>
      </c>
      <c r="BT165" s="48">
        <v>86.99</v>
      </c>
      <c r="BU165" s="48">
        <v>86.99</v>
      </c>
      <c r="BV165" s="48">
        <v>86.99</v>
      </c>
      <c r="BW165" s="48">
        <v>86.99</v>
      </c>
      <c r="BX165" s="48">
        <v>86.99</v>
      </c>
      <c r="BY165" s="48">
        <v>86.99</v>
      </c>
      <c r="BZ165" s="48">
        <v>86.99</v>
      </c>
      <c r="CA165" s="48">
        <v>86.99</v>
      </c>
      <c r="CB165" s="48">
        <v>86.99</v>
      </c>
      <c r="CC165" s="48">
        <v>86.99</v>
      </c>
      <c r="CD165" s="48">
        <v>86.99</v>
      </c>
      <c r="CE165" s="48">
        <v>86.99</v>
      </c>
      <c r="CF165" s="48">
        <v>86.99</v>
      </c>
      <c r="CG165" s="48">
        <v>86.99</v>
      </c>
      <c r="CH165" s="48">
        <v>86.99</v>
      </c>
      <c r="CI165" s="48">
        <v>86.99</v>
      </c>
      <c r="CJ165" s="48">
        <v>86.99</v>
      </c>
      <c r="CK165" s="48">
        <v>86.99</v>
      </c>
      <c r="CL165" s="48">
        <v>86.99</v>
      </c>
      <c r="CM165" s="48">
        <v>86.99</v>
      </c>
      <c r="CN165" s="48">
        <v>63.8</v>
      </c>
    </row>
    <row r="166" spans="31:145" x14ac:dyDescent="0.35">
      <c r="AE166" s="13" t="s">
        <v>40</v>
      </c>
      <c r="AF166" s="13" t="s">
        <v>67</v>
      </c>
      <c r="AG166" s="48">
        <v>248</v>
      </c>
      <c r="AH166" s="48">
        <v>248</v>
      </c>
      <c r="AI166" s="48">
        <v>248</v>
      </c>
      <c r="AJ166" s="48">
        <v>248</v>
      </c>
      <c r="AK166" s="48">
        <v>248</v>
      </c>
      <c r="AL166" s="48">
        <v>407.92</v>
      </c>
      <c r="AM166" s="48">
        <v>256.14</v>
      </c>
      <c r="AN166" s="48">
        <v>556.14</v>
      </c>
      <c r="AO166" s="48">
        <v>431.64</v>
      </c>
      <c r="AP166" s="48">
        <v>344.86</v>
      </c>
      <c r="AQ166" s="48">
        <v>348</v>
      </c>
      <c r="AR166" s="48">
        <v>648</v>
      </c>
      <c r="AS166" s="48">
        <v>736.56</v>
      </c>
      <c r="AT166" s="48">
        <v>436.56</v>
      </c>
      <c r="AU166" s="48">
        <v>648</v>
      </c>
      <c r="AV166" s="48">
        <v>648</v>
      </c>
      <c r="AW166" s="48">
        <v>391.82</v>
      </c>
      <c r="AX166" s="48">
        <v>280.08999999999997</v>
      </c>
      <c r="AY166" s="48">
        <v>315.33</v>
      </c>
      <c r="AZ166" s="48">
        <v>348</v>
      </c>
      <c r="BA166" s="48">
        <v>648</v>
      </c>
      <c r="BB166" s="48">
        <v>348</v>
      </c>
      <c r="BC166" s="48">
        <v>348</v>
      </c>
      <c r="BD166" s="48">
        <v>648</v>
      </c>
      <c r="BO166" s="13" t="s">
        <v>40</v>
      </c>
      <c r="BP166" s="13" t="s">
        <v>67</v>
      </c>
      <c r="BQ166" s="48">
        <v>76.2</v>
      </c>
      <c r="BR166" s="48">
        <v>73.44</v>
      </c>
      <c r="BS166" s="48">
        <v>73.44</v>
      </c>
      <c r="BT166" s="48">
        <v>73.44</v>
      </c>
      <c r="BU166" s="48">
        <v>73.44</v>
      </c>
      <c r="BV166" s="48">
        <v>73.44</v>
      </c>
      <c r="BW166" s="48">
        <v>73.44</v>
      </c>
      <c r="BX166" s="48">
        <v>73.44</v>
      </c>
      <c r="BY166" s="48">
        <v>73.44</v>
      </c>
      <c r="BZ166" s="48">
        <v>73.44</v>
      </c>
      <c r="CA166" s="48">
        <v>73.44</v>
      </c>
      <c r="CB166" s="48">
        <v>73.44</v>
      </c>
      <c r="CC166" s="48">
        <v>73.44</v>
      </c>
      <c r="CD166" s="48">
        <v>73.44</v>
      </c>
      <c r="CE166" s="48">
        <v>73.44</v>
      </c>
      <c r="CF166" s="48">
        <v>73.44</v>
      </c>
      <c r="CG166" s="48">
        <v>73.44</v>
      </c>
      <c r="CH166" s="48">
        <v>73.44</v>
      </c>
      <c r="CI166" s="48">
        <v>73.44</v>
      </c>
      <c r="CJ166" s="48">
        <v>73.44</v>
      </c>
      <c r="CK166" s="48">
        <v>73.44</v>
      </c>
      <c r="CL166" s="48">
        <v>73.44</v>
      </c>
      <c r="CM166" s="48">
        <v>73.44</v>
      </c>
      <c r="CN166" s="48">
        <v>53.86</v>
      </c>
    </row>
    <row r="167" spans="31:145" x14ac:dyDescent="0.35">
      <c r="AE167" s="13" t="s">
        <v>41</v>
      </c>
      <c r="AF167" s="13" t="s">
        <v>68</v>
      </c>
      <c r="AG167" s="48">
        <v>0</v>
      </c>
      <c r="AH167" s="48">
        <v>0</v>
      </c>
      <c r="AI167" s="48">
        <v>0</v>
      </c>
      <c r="AJ167" s="48">
        <v>0</v>
      </c>
      <c r="AK167" s="48">
        <v>0</v>
      </c>
      <c r="AL167" s="48">
        <v>0</v>
      </c>
      <c r="AM167" s="48">
        <v>0</v>
      </c>
      <c r="AN167" s="48">
        <v>0</v>
      </c>
      <c r="AO167" s="48">
        <v>0</v>
      </c>
      <c r="AP167" s="48">
        <v>0</v>
      </c>
      <c r="AQ167" s="48">
        <v>0</v>
      </c>
      <c r="AR167" s="48">
        <v>0</v>
      </c>
      <c r="AS167" s="48">
        <v>0</v>
      </c>
      <c r="AT167" s="48">
        <v>0</v>
      </c>
      <c r="AU167" s="48">
        <v>0</v>
      </c>
      <c r="AV167" s="48">
        <v>0</v>
      </c>
      <c r="AW167" s="48">
        <v>0</v>
      </c>
      <c r="AX167" s="48">
        <v>0</v>
      </c>
      <c r="AY167" s="48">
        <v>0</v>
      </c>
      <c r="AZ167" s="48">
        <v>0</v>
      </c>
      <c r="BA167" s="48">
        <v>0</v>
      </c>
      <c r="BB167" s="48">
        <v>0</v>
      </c>
      <c r="BC167" s="48">
        <v>0</v>
      </c>
      <c r="BD167" s="48">
        <v>0</v>
      </c>
      <c r="BO167" s="13" t="s">
        <v>41</v>
      </c>
      <c r="BP167" s="13" t="s">
        <v>68</v>
      </c>
      <c r="BQ167" s="48">
        <v>0</v>
      </c>
      <c r="BR167" s="48">
        <v>0</v>
      </c>
      <c r="BS167" s="48">
        <v>0</v>
      </c>
      <c r="BT167" s="48">
        <v>0</v>
      </c>
      <c r="BU167" s="48">
        <v>0</v>
      </c>
      <c r="BV167" s="48">
        <v>0</v>
      </c>
      <c r="BW167" s="48">
        <v>0</v>
      </c>
      <c r="BX167" s="48">
        <v>0</v>
      </c>
      <c r="BY167" s="48">
        <v>0</v>
      </c>
      <c r="BZ167" s="48">
        <v>0</v>
      </c>
      <c r="CA167" s="48">
        <v>0</v>
      </c>
      <c r="CB167" s="48">
        <v>0</v>
      </c>
      <c r="CC167" s="48">
        <v>0</v>
      </c>
      <c r="CD167" s="48">
        <v>0</v>
      </c>
      <c r="CE167" s="48">
        <v>0</v>
      </c>
      <c r="CF167" s="48">
        <v>0</v>
      </c>
      <c r="CG167" s="48">
        <v>0</v>
      </c>
      <c r="CH167" s="48">
        <v>0</v>
      </c>
      <c r="CI167" s="48">
        <v>0</v>
      </c>
      <c r="CJ167" s="48">
        <v>0</v>
      </c>
      <c r="CK167" s="48">
        <v>0</v>
      </c>
      <c r="CL167" s="48">
        <v>0</v>
      </c>
      <c r="CM167" s="48">
        <v>0</v>
      </c>
      <c r="CN167" s="48">
        <v>0</v>
      </c>
    </row>
    <row r="168" spans="31:145" x14ac:dyDescent="0.35">
      <c r="AE168" s="13" t="s">
        <v>42</v>
      </c>
      <c r="AF168" s="13" t="s">
        <v>61</v>
      </c>
      <c r="AG168" s="48">
        <v>540.67999999999995</v>
      </c>
      <c r="AH168" s="48">
        <v>606.24</v>
      </c>
      <c r="AI168" s="48">
        <v>657.78</v>
      </c>
      <c r="AJ168" s="48">
        <v>696</v>
      </c>
      <c r="AK168" s="48">
        <v>683.63</v>
      </c>
      <c r="AL168" s="48">
        <v>606.24</v>
      </c>
      <c r="AM168" s="48">
        <v>606.24</v>
      </c>
      <c r="AN168" s="48">
        <v>606.24</v>
      </c>
      <c r="AO168" s="48">
        <v>606.24</v>
      </c>
      <c r="AP168" s="48">
        <v>646.64</v>
      </c>
      <c r="AQ168" s="48">
        <v>606.24</v>
      </c>
      <c r="AR168" s="48">
        <v>606.24</v>
      </c>
      <c r="AS168" s="48">
        <v>606.24</v>
      </c>
      <c r="AT168" s="48">
        <v>606.24</v>
      </c>
      <c r="AU168" s="48">
        <v>606.24</v>
      </c>
      <c r="AV168" s="48">
        <v>632.49</v>
      </c>
      <c r="AW168" s="48">
        <v>632.49</v>
      </c>
      <c r="AX168" s="48">
        <v>636.20000000000005</v>
      </c>
      <c r="AY168" s="48">
        <v>696</v>
      </c>
      <c r="AZ168" s="48">
        <v>606.24</v>
      </c>
      <c r="BA168" s="48">
        <v>696</v>
      </c>
      <c r="BB168" s="48">
        <v>606.24</v>
      </c>
      <c r="BC168" s="48">
        <v>696</v>
      </c>
      <c r="BD168" s="48">
        <v>676.55</v>
      </c>
      <c r="BO168" s="13" t="s">
        <v>42</v>
      </c>
      <c r="BP168" s="13" t="s">
        <v>61</v>
      </c>
      <c r="BQ168" s="48">
        <v>273.67</v>
      </c>
      <c r="BR168" s="48">
        <v>263.76</v>
      </c>
      <c r="BS168" s="48">
        <v>212.22</v>
      </c>
      <c r="BT168" s="48">
        <v>170.59</v>
      </c>
      <c r="BU168" s="48">
        <v>151.36000000000001</v>
      </c>
      <c r="BV168" s="48">
        <v>263.76</v>
      </c>
      <c r="BW168" s="48">
        <v>263.76</v>
      </c>
      <c r="BX168" s="48">
        <v>263.76</v>
      </c>
      <c r="BY168" s="48">
        <v>263.76</v>
      </c>
      <c r="BZ168" s="48">
        <v>223.36</v>
      </c>
      <c r="CA168" s="48">
        <v>263.76</v>
      </c>
      <c r="CB168" s="48">
        <v>263.76</v>
      </c>
      <c r="CC168" s="48">
        <v>263.76</v>
      </c>
      <c r="CD168" s="48">
        <v>263.76</v>
      </c>
      <c r="CE168" s="48">
        <v>263.76</v>
      </c>
      <c r="CF168" s="48">
        <v>237.51</v>
      </c>
      <c r="CG168" s="48">
        <v>237.51</v>
      </c>
      <c r="CH168" s="48">
        <v>233.8</v>
      </c>
      <c r="CI168" s="48">
        <v>174</v>
      </c>
      <c r="CJ168" s="48">
        <v>263.76</v>
      </c>
      <c r="CK168" s="48">
        <v>174</v>
      </c>
      <c r="CL168" s="48">
        <v>263.76</v>
      </c>
      <c r="CM168" s="48">
        <v>174</v>
      </c>
      <c r="CN168" s="48">
        <v>193.45</v>
      </c>
    </row>
    <row r="169" spans="31:145" x14ac:dyDescent="0.35">
      <c r="AE169" s="13" t="s">
        <v>43</v>
      </c>
      <c r="AF169" s="13" t="s">
        <v>69</v>
      </c>
      <c r="AG169" s="48">
        <v>600</v>
      </c>
      <c r="AH169" s="48">
        <v>600</v>
      </c>
      <c r="AI169" s="48">
        <v>600</v>
      </c>
      <c r="AJ169" s="48">
        <v>600</v>
      </c>
      <c r="AK169" s="48">
        <v>600</v>
      </c>
      <c r="AL169" s="48">
        <v>600</v>
      </c>
      <c r="AM169" s="48">
        <v>600</v>
      </c>
      <c r="AN169" s="48">
        <v>600</v>
      </c>
      <c r="AO169" s="48">
        <v>672</v>
      </c>
      <c r="AP169" s="48">
        <v>672</v>
      </c>
      <c r="AQ169" s="48">
        <v>672</v>
      </c>
      <c r="AR169" s="48">
        <v>672</v>
      </c>
      <c r="AS169" s="48">
        <v>600</v>
      </c>
      <c r="AT169" s="48">
        <v>600</v>
      </c>
      <c r="AU169" s="48">
        <v>672</v>
      </c>
      <c r="AV169" s="48">
        <v>600</v>
      </c>
      <c r="AW169" s="48">
        <v>600</v>
      </c>
      <c r="AX169" s="48">
        <v>600</v>
      </c>
      <c r="AY169" s="48">
        <v>672</v>
      </c>
      <c r="AZ169" s="48">
        <v>672</v>
      </c>
      <c r="BA169" s="48">
        <v>600</v>
      </c>
      <c r="BB169" s="48">
        <v>600</v>
      </c>
      <c r="BC169" s="48">
        <v>720</v>
      </c>
      <c r="BD169" s="48">
        <v>607.41</v>
      </c>
      <c r="BO169" s="13" t="s">
        <v>43</v>
      </c>
      <c r="BP169" s="13" t="s">
        <v>69</v>
      </c>
      <c r="BQ169" s="48">
        <v>240</v>
      </c>
      <c r="BR169" s="48">
        <v>240</v>
      </c>
      <c r="BS169" s="48">
        <v>240</v>
      </c>
      <c r="BT169" s="48">
        <v>240</v>
      </c>
      <c r="BU169" s="48">
        <v>240</v>
      </c>
      <c r="BV169" s="48">
        <v>240</v>
      </c>
      <c r="BW169" s="48">
        <v>240</v>
      </c>
      <c r="BX169" s="48">
        <v>240</v>
      </c>
      <c r="BY169" s="48">
        <v>168</v>
      </c>
      <c r="BZ169" s="48">
        <v>168</v>
      </c>
      <c r="CA169" s="48">
        <v>168</v>
      </c>
      <c r="CB169" s="48">
        <v>168</v>
      </c>
      <c r="CC169" s="48">
        <v>240</v>
      </c>
      <c r="CD169" s="48">
        <v>240</v>
      </c>
      <c r="CE169" s="48">
        <v>168</v>
      </c>
      <c r="CF169" s="48">
        <v>240</v>
      </c>
      <c r="CG169" s="48">
        <v>240</v>
      </c>
      <c r="CH169" s="48">
        <v>240</v>
      </c>
      <c r="CI169" s="48">
        <v>168</v>
      </c>
      <c r="CJ169" s="48">
        <v>168</v>
      </c>
      <c r="CK169" s="48">
        <v>240</v>
      </c>
      <c r="CL169" s="48">
        <v>240</v>
      </c>
      <c r="CM169" s="48">
        <v>120</v>
      </c>
      <c r="CN169" s="48">
        <v>232.59</v>
      </c>
    </row>
    <row r="170" spans="31:145" x14ac:dyDescent="0.35">
      <c r="AE170" s="13" t="s">
        <v>169</v>
      </c>
      <c r="AF170" s="13" t="s">
        <v>168</v>
      </c>
      <c r="AG170" s="48">
        <v>400</v>
      </c>
      <c r="AH170" s="48">
        <v>338.51</v>
      </c>
      <c r="AI170" s="48">
        <v>347.43</v>
      </c>
      <c r="AJ170" s="48">
        <v>333.57</v>
      </c>
      <c r="AK170" s="48">
        <v>371.75</v>
      </c>
      <c r="AL170" s="48">
        <v>272.38</v>
      </c>
      <c r="AM170" s="48">
        <v>309.17</v>
      </c>
      <c r="AN170" s="48">
        <v>237.33</v>
      </c>
      <c r="AO170" s="48">
        <v>308.58999999999997</v>
      </c>
      <c r="AP170" s="48">
        <v>390.99</v>
      </c>
      <c r="AQ170" s="48">
        <v>288.67</v>
      </c>
      <c r="AR170" s="48">
        <v>180.56</v>
      </c>
      <c r="AS170" s="48">
        <v>118.54</v>
      </c>
      <c r="AT170" s="48">
        <v>134.03</v>
      </c>
      <c r="AU170" s="48">
        <v>127.09</v>
      </c>
      <c r="AV170" s="48">
        <v>101.32</v>
      </c>
      <c r="AW170" s="48">
        <v>185.4</v>
      </c>
      <c r="AX170" s="48">
        <v>217.23</v>
      </c>
      <c r="AY170" s="48">
        <v>233.7</v>
      </c>
      <c r="AZ170" s="48">
        <v>266.38</v>
      </c>
      <c r="BA170" s="48">
        <v>255.5</v>
      </c>
      <c r="BB170" s="48">
        <v>197.37</v>
      </c>
      <c r="BC170" s="48">
        <v>219.46</v>
      </c>
      <c r="BD170" s="48">
        <v>140.31</v>
      </c>
    </row>
  </sheetData>
  <mergeCells count="106">
    <mergeCell ref="DQ142:DQ143"/>
    <mergeCell ref="DR142:EO142"/>
    <mergeCell ref="AE158:AF159"/>
    <mergeCell ref="AG158:BD158"/>
    <mergeCell ref="BO158:BP159"/>
    <mergeCell ref="BQ158:CN158"/>
    <mergeCell ref="DQ158:DQ159"/>
    <mergeCell ref="DR158:EO158"/>
    <mergeCell ref="AE142:AF143"/>
    <mergeCell ref="AG142:BD142"/>
    <mergeCell ref="E142:E143"/>
    <mergeCell ref="F142:AC142"/>
    <mergeCell ref="BO142:BP143"/>
    <mergeCell ref="BQ142:CN142"/>
    <mergeCell ref="CP5:CP6"/>
    <mergeCell ref="CR5:DO5"/>
    <mergeCell ref="A5:A8"/>
    <mergeCell ref="A9:B9"/>
    <mergeCell ref="F5:AC5"/>
    <mergeCell ref="E5:E6"/>
    <mergeCell ref="AG5:BD5"/>
    <mergeCell ref="BO5:BO6"/>
    <mergeCell ref="BQ5:CN5"/>
    <mergeCell ref="CR23:DO23"/>
    <mergeCell ref="A27:B27"/>
    <mergeCell ref="A10:B10"/>
    <mergeCell ref="A11:B11"/>
    <mergeCell ref="A23:A26"/>
    <mergeCell ref="E23:E24"/>
    <mergeCell ref="F23:AC23"/>
    <mergeCell ref="F41:AC41"/>
    <mergeCell ref="AG23:BD23"/>
    <mergeCell ref="BO23:BO24"/>
    <mergeCell ref="BQ23:CN23"/>
    <mergeCell ref="CP23:CP24"/>
    <mergeCell ref="AG41:BD41"/>
    <mergeCell ref="BO41:BO42"/>
    <mergeCell ref="BQ41:CN41"/>
    <mergeCell ref="CP41:CP42"/>
    <mergeCell ref="CR41:DO41"/>
    <mergeCell ref="AG59:BD59"/>
    <mergeCell ref="BQ59:CN59"/>
    <mergeCell ref="CP59:CP60"/>
    <mergeCell ref="CR59:DO59"/>
    <mergeCell ref="A63:B63"/>
    <mergeCell ref="BO59:BP60"/>
    <mergeCell ref="A59:A62"/>
    <mergeCell ref="E59:E60"/>
    <mergeCell ref="F59:AC59"/>
    <mergeCell ref="AG77:BD77"/>
    <mergeCell ref="BQ77:CN77"/>
    <mergeCell ref="CR77:DO77"/>
    <mergeCell ref="A81:B81"/>
    <mergeCell ref="BO77:BP78"/>
    <mergeCell ref="CP77:CQ78"/>
    <mergeCell ref="A77:A80"/>
    <mergeCell ref="E77:E78"/>
    <mergeCell ref="F77:AC77"/>
    <mergeCell ref="A82:B82"/>
    <mergeCell ref="A83:B83"/>
    <mergeCell ref="AE5:AF6"/>
    <mergeCell ref="AE23:AF24"/>
    <mergeCell ref="AE41:AF42"/>
    <mergeCell ref="AE59:AF60"/>
    <mergeCell ref="AE77:AF78"/>
    <mergeCell ref="A64:B64"/>
    <mergeCell ref="A65:B65"/>
    <mergeCell ref="A46:B46"/>
    <mergeCell ref="A47:B47"/>
    <mergeCell ref="A45:B45"/>
    <mergeCell ref="A28:B28"/>
    <mergeCell ref="A29:B29"/>
    <mergeCell ref="A41:A44"/>
    <mergeCell ref="E41:E42"/>
    <mergeCell ref="A101:B101"/>
    <mergeCell ref="A95:A98"/>
    <mergeCell ref="E95:E96"/>
    <mergeCell ref="F95:AC95"/>
    <mergeCell ref="AE95:AF96"/>
    <mergeCell ref="BQ95:CN95"/>
    <mergeCell ref="CP95:CQ96"/>
    <mergeCell ref="CR95:DO95"/>
    <mergeCell ref="A99:B99"/>
    <mergeCell ref="A100:B100"/>
    <mergeCell ref="AG95:BD95"/>
    <mergeCell ref="BO95:BP96"/>
    <mergeCell ref="A118:B118"/>
    <mergeCell ref="A119:B119"/>
    <mergeCell ref="BO113:BP114"/>
    <mergeCell ref="BQ113:CN113"/>
    <mergeCell ref="CP113:CQ114"/>
    <mergeCell ref="A117:B117"/>
    <mergeCell ref="A113:A116"/>
    <mergeCell ref="E113:E114"/>
    <mergeCell ref="F113:AC113"/>
    <mergeCell ref="AE113:AF114"/>
    <mergeCell ref="AG113:BD113"/>
    <mergeCell ref="AE126:AF127"/>
    <mergeCell ref="AG126:BD126"/>
    <mergeCell ref="DQ113:DQ114"/>
    <mergeCell ref="DR113:EO113"/>
    <mergeCell ref="DR119:EO119"/>
    <mergeCell ref="DQ119:DQ120"/>
    <mergeCell ref="CR113:DO113"/>
    <mergeCell ref="BO126:BP127"/>
    <mergeCell ref="BQ126:CN126"/>
  </mergeCells>
  <conditionalFormatting sqref="F7:AC16">
    <cfRule type="cellIs" dxfId="33" priority="30" operator="equal">
      <formula>1</formula>
    </cfRule>
  </conditionalFormatting>
  <conditionalFormatting sqref="F25:AC34">
    <cfRule type="cellIs" dxfId="32" priority="28" operator="equal">
      <formula>1</formula>
    </cfRule>
  </conditionalFormatting>
  <conditionalFormatting sqref="F43:AC52">
    <cfRule type="cellIs" dxfId="31" priority="26" operator="equal">
      <formula>1</formula>
    </cfRule>
  </conditionalFormatting>
  <conditionalFormatting sqref="F61:AC70">
    <cfRule type="cellIs" dxfId="30" priority="24" operator="equal">
      <formula>1</formula>
    </cfRule>
  </conditionalFormatting>
  <conditionalFormatting sqref="F79:AC88">
    <cfRule type="cellIs" dxfId="29" priority="22" operator="equal">
      <formula>1</formula>
    </cfRule>
  </conditionalFormatting>
  <conditionalFormatting sqref="F97:AC106">
    <cfRule type="cellIs" dxfId="28" priority="17" operator="equal">
      <formula>1</formula>
    </cfRule>
  </conditionalFormatting>
  <conditionalFormatting sqref="F115:AC124">
    <cfRule type="cellIs" dxfId="27" priority="13" operator="equal">
      <formula>1</formula>
    </cfRule>
  </conditionalFormatting>
  <conditionalFormatting sqref="AG7:BD16">
    <cfRule type="cellIs" dxfId="26" priority="29" operator="equal">
      <formula>0</formula>
    </cfRule>
  </conditionalFormatting>
  <conditionalFormatting sqref="AG25:BD34">
    <cfRule type="cellIs" dxfId="25" priority="27" operator="equal">
      <formula>0</formula>
    </cfRule>
  </conditionalFormatting>
  <conditionalFormatting sqref="AG43:BD52">
    <cfRule type="cellIs" dxfId="24" priority="25" operator="equal">
      <formula>0</formula>
    </cfRule>
  </conditionalFormatting>
  <conditionalFormatting sqref="AG61:BD70">
    <cfRule type="cellIs" dxfId="23" priority="23" operator="equal">
      <formula>0</formula>
    </cfRule>
  </conditionalFormatting>
  <conditionalFormatting sqref="AG79:BD88">
    <cfRule type="cellIs" dxfId="22" priority="21" operator="equal">
      <formula>0</formula>
    </cfRule>
  </conditionalFormatting>
  <conditionalFormatting sqref="AG97:BD106">
    <cfRule type="cellIs" dxfId="21" priority="16" operator="equal">
      <formula>0</formula>
    </cfRule>
  </conditionalFormatting>
  <conditionalFormatting sqref="AG115:BD124">
    <cfRule type="cellIs" dxfId="20" priority="12" operator="equal">
      <formula>0</formula>
    </cfRule>
  </conditionalFormatting>
  <conditionalFormatting sqref="AG128:BD137">
    <cfRule type="cellIs" dxfId="19" priority="9" operator="equal">
      <formula>0</formula>
    </cfRule>
  </conditionalFormatting>
  <conditionalFormatting sqref="BQ61:CN70">
    <cfRule type="cellIs" dxfId="18" priority="20" operator="equal">
      <formula>0</formula>
    </cfRule>
  </conditionalFormatting>
  <conditionalFormatting sqref="BQ79:CN88">
    <cfRule type="cellIs" dxfId="17" priority="19" operator="equal">
      <formula>0</formula>
    </cfRule>
  </conditionalFormatting>
  <conditionalFormatting sqref="BQ97:CN106">
    <cfRule type="cellIs" dxfId="16" priority="15" operator="equal">
      <formula>0</formula>
    </cfRule>
  </conditionalFormatting>
  <conditionalFormatting sqref="BQ115:CN124">
    <cfRule type="cellIs" dxfId="15" priority="11" operator="equal">
      <formula>0</formula>
    </cfRule>
  </conditionalFormatting>
  <conditionalFormatting sqref="BQ128:CN137">
    <cfRule type="cellIs" dxfId="14" priority="8" operator="equal">
      <formula>0</formula>
    </cfRule>
  </conditionalFormatting>
  <conditionalFormatting sqref="CR79:DO88">
    <cfRule type="cellIs" dxfId="13" priority="18" operator="equal">
      <formula>0</formula>
    </cfRule>
  </conditionalFormatting>
  <conditionalFormatting sqref="CR97:DO106">
    <cfRule type="cellIs" dxfId="12" priority="14" operator="equal">
      <formula>0</formula>
    </cfRule>
  </conditionalFormatting>
  <conditionalFormatting sqref="CR115:DO124">
    <cfRule type="cellIs" dxfId="11" priority="10" operator="equal">
      <formula>0</formula>
    </cfRule>
  </conditionalFormatting>
  <conditionalFormatting sqref="AG144:BD154">
    <cfRule type="cellIs" dxfId="6" priority="7" operator="equal">
      <formula>0</formula>
    </cfRule>
  </conditionalFormatting>
  <conditionalFormatting sqref="F144:AC153">
    <cfRule type="cellIs" dxfId="5" priority="6" operator="equal">
      <formula>1</formula>
    </cfRule>
  </conditionalFormatting>
  <conditionalFormatting sqref="BQ144:CN153">
    <cfRule type="cellIs" dxfId="4" priority="5" operator="equal">
      <formula>0</formula>
    </cfRule>
  </conditionalFormatting>
  <conditionalFormatting sqref="DR144:EO145">
    <cfRule type="cellIs" dxfId="3" priority="4" operator="equal">
      <formula>0</formula>
    </cfRule>
  </conditionalFormatting>
  <conditionalFormatting sqref="AG160:BD170">
    <cfRule type="cellIs" dxfId="2" priority="3" operator="equal">
      <formula>0</formula>
    </cfRule>
  </conditionalFormatting>
  <conditionalFormatting sqref="BQ160:CN169">
    <cfRule type="cellIs" dxfId="1" priority="2" operator="equal">
      <formula>0</formula>
    </cfRule>
  </conditionalFormatting>
  <conditionalFormatting sqref="DR160:EO161">
    <cfRule type="cellIs" dxfId="0" priority="1" operator="equal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9A9E-2AB9-4A0E-9030-BA90E15E8BFE}">
  <dimension ref="A1:Y16"/>
  <sheetViews>
    <sheetView topLeftCell="Q1" workbookViewId="0">
      <selection activeCell="B3" sqref="B3:Y13"/>
    </sheetView>
  </sheetViews>
  <sheetFormatPr defaultRowHeight="14.5" x14ac:dyDescent="0.35"/>
  <sheetData>
    <row r="1" spans="1:25" x14ac:dyDescent="0.35">
      <c r="A1" s="75" t="s">
        <v>22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5">
      <c r="A2" s="75" t="s">
        <v>129</v>
      </c>
      <c r="B2">
        <v>4225.68</v>
      </c>
      <c r="C2">
        <v>4173.17</v>
      </c>
      <c r="D2">
        <v>4089.2</v>
      </c>
      <c r="E2">
        <v>4009.38</v>
      </c>
      <c r="F2">
        <v>4009.38</v>
      </c>
      <c r="G2">
        <v>4211.5200000000004</v>
      </c>
      <c r="H2">
        <v>4273.0600000000004</v>
      </c>
      <c r="I2">
        <v>4224.6899999999996</v>
      </c>
      <c r="J2">
        <v>4531.45</v>
      </c>
      <c r="K2">
        <v>4847.07</v>
      </c>
      <c r="L2">
        <v>4980.9799999999996</v>
      </c>
      <c r="M2">
        <v>5032.12</v>
      </c>
      <c r="N2">
        <v>4781.58</v>
      </c>
      <c r="O2">
        <v>4955.8100000000004</v>
      </c>
      <c r="P2">
        <v>5107.43</v>
      </c>
      <c r="Q2">
        <v>5062.59</v>
      </c>
      <c r="R2">
        <v>5000.45</v>
      </c>
      <c r="S2">
        <v>4900.5600000000004</v>
      </c>
      <c r="T2">
        <v>4952.2700000000004</v>
      </c>
      <c r="U2">
        <v>5132.3999999999996</v>
      </c>
      <c r="V2">
        <v>5080.68</v>
      </c>
      <c r="W2">
        <v>4974.3</v>
      </c>
      <c r="X2">
        <v>4703.5200000000004</v>
      </c>
      <c r="Y2">
        <v>4496.26</v>
      </c>
    </row>
    <row r="3" spans="1:25" x14ac:dyDescent="0.35">
      <c r="A3" s="75" t="s">
        <v>154</v>
      </c>
      <c r="B3">
        <v>1056</v>
      </c>
      <c r="C3">
        <v>940.8</v>
      </c>
      <c r="D3">
        <v>820.8</v>
      </c>
      <c r="E3">
        <v>700.8</v>
      </c>
      <c r="F3">
        <v>627</v>
      </c>
      <c r="G3">
        <v>745.98</v>
      </c>
      <c r="H3">
        <v>745.98</v>
      </c>
      <c r="I3">
        <v>745.98</v>
      </c>
      <c r="J3">
        <v>673.98</v>
      </c>
      <c r="K3">
        <v>633.59</v>
      </c>
      <c r="L3">
        <v>673.98</v>
      </c>
      <c r="M3">
        <v>673.98</v>
      </c>
      <c r="N3">
        <v>745.98</v>
      </c>
      <c r="O3">
        <v>772.8</v>
      </c>
      <c r="P3">
        <v>820.8</v>
      </c>
      <c r="Q3">
        <v>940.8</v>
      </c>
      <c r="R3">
        <v>940.8</v>
      </c>
      <c r="S3">
        <v>909.83</v>
      </c>
      <c r="T3">
        <v>789.83</v>
      </c>
      <c r="U3">
        <v>759.59</v>
      </c>
      <c r="V3">
        <v>656.22</v>
      </c>
      <c r="W3">
        <v>745.98</v>
      </c>
      <c r="X3">
        <v>633.59</v>
      </c>
      <c r="Y3">
        <v>705.86</v>
      </c>
    </row>
    <row r="4" spans="1:25" x14ac:dyDescent="0.35">
      <c r="A4" s="75" t="s">
        <v>155</v>
      </c>
      <c r="B4">
        <v>340</v>
      </c>
      <c r="C4">
        <v>340</v>
      </c>
      <c r="D4">
        <v>340</v>
      </c>
      <c r="E4">
        <v>340</v>
      </c>
      <c r="F4">
        <v>340</v>
      </c>
      <c r="G4">
        <v>340</v>
      </c>
      <c r="H4">
        <v>340</v>
      </c>
      <c r="I4">
        <v>340</v>
      </c>
      <c r="J4">
        <v>340</v>
      </c>
      <c r="K4">
        <v>340</v>
      </c>
      <c r="L4">
        <v>487.02</v>
      </c>
      <c r="M4">
        <v>340</v>
      </c>
      <c r="N4">
        <v>509.26</v>
      </c>
      <c r="O4">
        <v>588</v>
      </c>
      <c r="P4">
        <v>535.11</v>
      </c>
      <c r="Q4">
        <v>384.04</v>
      </c>
      <c r="R4">
        <v>600</v>
      </c>
      <c r="S4">
        <v>900</v>
      </c>
      <c r="T4">
        <v>600</v>
      </c>
      <c r="U4">
        <v>588.78</v>
      </c>
      <c r="V4">
        <v>360.46</v>
      </c>
      <c r="W4">
        <v>463.51</v>
      </c>
      <c r="X4">
        <v>340</v>
      </c>
      <c r="Y4">
        <v>0</v>
      </c>
    </row>
    <row r="5" spans="1:25" x14ac:dyDescent="0.35">
      <c r="A5" s="75" t="s">
        <v>156</v>
      </c>
      <c r="B5">
        <v>720</v>
      </c>
      <c r="C5">
        <v>769.62</v>
      </c>
      <c r="D5">
        <v>829.68</v>
      </c>
      <c r="E5">
        <v>921.01</v>
      </c>
      <c r="F5">
        <v>969</v>
      </c>
      <c r="G5">
        <v>969</v>
      </c>
      <c r="H5">
        <v>969</v>
      </c>
      <c r="I5">
        <v>969</v>
      </c>
      <c r="J5">
        <v>969</v>
      </c>
      <c r="K5">
        <v>969</v>
      </c>
      <c r="L5">
        <v>969</v>
      </c>
      <c r="M5">
        <v>969</v>
      </c>
      <c r="N5">
        <v>969</v>
      </c>
      <c r="O5">
        <v>942.18</v>
      </c>
      <c r="P5">
        <v>822.18</v>
      </c>
      <c r="Q5">
        <v>747.93</v>
      </c>
      <c r="R5">
        <v>747.93</v>
      </c>
      <c r="S5">
        <v>775.2</v>
      </c>
      <c r="T5">
        <v>763.4</v>
      </c>
      <c r="U5">
        <v>883.4</v>
      </c>
      <c r="V5">
        <v>969</v>
      </c>
      <c r="W5">
        <v>969</v>
      </c>
      <c r="X5">
        <v>871.64</v>
      </c>
      <c r="Y5">
        <v>789.72</v>
      </c>
    </row>
    <row r="6" spans="1:25" x14ac:dyDescent="0.35">
      <c r="A6" s="75" t="s">
        <v>157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75" t="s">
        <v>158</v>
      </c>
      <c r="B7">
        <v>66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75" t="s">
        <v>159</v>
      </c>
      <c r="B8">
        <v>250</v>
      </c>
      <c r="C8">
        <v>250</v>
      </c>
      <c r="D8">
        <v>250</v>
      </c>
      <c r="E8">
        <v>250</v>
      </c>
      <c r="F8">
        <v>250</v>
      </c>
      <c r="G8">
        <v>250</v>
      </c>
      <c r="H8">
        <v>366.52</v>
      </c>
      <c r="I8">
        <v>250</v>
      </c>
      <c r="J8">
        <v>550</v>
      </c>
      <c r="K8">
        <v>850</v>
      </c>
      <c r="L8">
        <v>922.41</v>
      </c>
      <c r="M8">
        <v>876</v>
      </c>
      <c r="N8">
        <v>576</v>
      </c>
      <c r="O8">
        <v>876</v>
      </c>
      <c r="P8">
        <v>876</v>
      </c>
      <c r="Q8">
        <v>1008.01</v>
      </c>
      <c r="R8">
        <v>882.01</v>
      </c>
      <c r="S8">
        <v>582.01</v>
      </c>
      <c r="T8">
        <v>882.01</v>
      </c>
      <c r="U8">
        <v>1008.01</v>
      </c>
      <c r="V8">
        <v>876</v>
      </c>
      <c r="W8">
        <v>964.2</v>
      </c>
      <c r="X8">
        <v>876</v>
      </c>
      <c r="Y8">
        <v>882.25</v>
      </c>
    </row>
    <row r="9" spans="1:25" x14ac:dyDescent="0.35">
      <c r="A9" s="75" t="s">
        <v>160</v>
      </c>
      <c r="B9">
        <v>248</v>
      </c>
      <c r="C9">
        <v>248</v>
      </c>
      <c r="D9">
        <v>248</v>
      </c>
      <c r="E9">
        <v>248</v>
      </c>
      <c r="F9">
        <v>248</v>
      </c>
      <c r="G9">
        <v>407.92</v>
      </c>
      <c r="H9">
        <v>256.14</v>
      </c>
      <c r="I9">
        <v>556.14</v>
      </c>
      <c r="J9">
        <v>431.64</v>
      </c>
      <c r="K9">
        <v>344.86</v>
      </c>
      <c r="L9">
        <v>348</v>
      </c>
      <c r="M9">
        <v>648</v>
      </c>
      <c r="N9">
        <v>736.56</v>
      </c>
      <c r="O9">
        <v>436.56</v>
      </c>
      <c r="P9">
        <v>648</v>
      </c>
      <c r="Q9">
        <v>648</v>
      </c>
      <c r="R9">
        <v>391.82</v>
      </c>
      <c r="S9">
        <v>280.08999999999997</v>
      </c>
      <c r="T9">
        <v>315.33</v>
      </c>
      <c r="U9">
        <v>348</v>
      </c>
      <c r="V9">
        <v>648</v>
      </c>
      <c r="W9">
        <v>348</v>
      </c>
      <c r="X9">
        <v>348</v>
      </c>
      <c r="Y9">
        <v>648</v>
      </c>
    </row>
    <row r="10" spans="1:25" x14ac:dyDescent="0.35">
      <c r="A10" s="75" t="s">
        <v>161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75" t="s">
        <v>162</v>
      </c>
      <c r="B11">
        <v>540.67999999999995</v>
      </c>
      <c r="C11">
        <v>606.24</v>
      </c>
      <c r="D11">
        <v>657.78</v>
      </c>
      <c r="E11">
        <v>696</v>
      </c>
      <c r="F11">
        <v>683.63</v>
      </c>
      <c r="G11">
        <v>606.24</v>
      </c>
      <c r="H11">
        <v>606.24</v>
      </c>
      <c r="I11">
        <v>606.24</v>
      </c>
      <c r="J11">
        <v>606.24</v>
      </c>
      <c r="K11">
        <v>646.64</v>
      </c>
      <c r="L11">
        <v>606.24</v>
      </c>
      <c r="M11">
        <v>606.24</v>
      </c>
      <c r="N11">
        <v>606.24</v>
      </c>
      <c r="O11">
        <v>606.24</v>
      </c>
      <c r="P11">
        <v>606.24</v>
      </c>
      <c r="Q11">
        <v>632.49</v>
      </c>
      <c r="R11">
        <v>632.49</v>
      </c>
      <c r="S11">
        <v>636.20000000000005</v>
      </c>
      <c r="T11">
        <v>696</v>
      </c>
      <c r="U11">
        <v>606.24</v>
      </c>
      <c r="V11">
        <v>696</v>
      </c>
      <c r="W11">
        <v>606.24</v>
      </c>
      <c r="X11">
        <v>696</v>
      </c>
      <c r="Y11">
        <v>676.55</v>
      </c>
    </row>
    <row r="12" spans="1:25" x14ac:dyDescent="0.35">
      <c r="A12" s="75" t="s">
        <v>163</v>
      </c>
      <c r="B12">
        <v>600</v>
      </c>
      <c r="C12">
        <v>600</v>
      </c>
      <c r="D12">
        <v>600</v>
      </c>
      <c r="E12">
        <v>600</v>
      </c>
      <c r="F12">
        <v>600</v>
      </c>
      <c r="G12">
        <v>600</v>
      </c>
      <c r="H12">
        <v>600</v>
      </c>
      <c r="I12">
        <v>600</v>
      </c>
      <c r="J12">
        <v>672</v>
      </c>
      <c r="K12">
        <v>672</v>
      </c>
      <c r="L12">
        <v>672</v>
      </c>
      <c r="M12">
        <v>672</v>
      </c>
      <c r="N12">
        <v>600</v>
      </c>
      <c r="O12">
        <v>600</v>
      </c>
      <c r="P12">
        <v>672</v>
      </c>
      <c r="Q12">
        <v>600</v>
      </c>
      <c r="R12">
        <v>600</v>
      </c>
      <c r="S12">
        <v>600</v>
      </c>
      <c r="T12">
        <v>672</v>
      </c>
      <c r="U12">
        <v>672</v>
      </c>
      <c r="V12">
        <v>600</v>
      </c>
      <c r="W12">
        <v>600</v>
      </c>
      <c r="X12">
        <v>720</v>
      </c>
      <c r="Y12">
        <v>607.41</v>
      </c>
    </row>
    <row r="13" spans="1:25" x14ac:dyDescent="0.35">
      <c r="A13" s="75" t="s">
        <v>164</v>
      </c>
      <c r="B13">
        <v>400</v>
      </c>
      <c r="C13">
        <v>338.51</v>
      </c>
      <c r="D13">
        <v>347.43</v>
      </c>
      <c r="E13">
        <v>333.57</v>
      </c>
      <c r="F13">
        <v>371.75</v>
      </c>
      <c r="G13">
        <v>272.38</v>
      </c>
      <c r="H13">
        <v>309.17</v>
      </c>
      <c r="I13">
        <v>237.33</v>
      </c>
      <c r="J13">
        <v>308.58999999999997</v>
      </c>
      <c r="K13">
        <v>390.99</v>
      </c>
      <c r="L13">
        <v>288.67</v>
      </c>
      <c r="M13">
        <v>180.56</v>
      </c>
      <c r="N13">
        <v>118.54</v>
      </c>
      <c r="O13">
        <v>134.03</v>
      </c>
      <c r="P13">
        <v>127.09</v>
      </c>
      <c r="Q13">
        <v>101.32</v>
      </c>
      <c r="R13">
        <v>185.4</v>
      </c>
      <c r="S13">
        <v>217.23</v>
      </c>
      <c r="T13">
        <v>233.7</v>
      </c>
      <c r="U13">
        <v>266.38</v>
      </c>
      <c r="V13">
        <v>255.5</v>
      </c>
      <c r="W13">
        <v>197.37</v>
      </c>
      <c r="X13">
        <v>219.46</v>
      </c>
      <c r="Y13">
        <v>140.31</v>
      </c>
    </row>
    <row r="14" spans="1:25" x14ac:dyDescent="0.35">
      <c r="A14" s="75" t="s">
        <v>165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75" t="s">
        <v>166</v>
      </c>
      <c r="B15">
        <v>400</v>
      </c>
      <c r="C15">
        <v>338.51</v>
      </c>
      <c r="D15">
        <v>347.43</v>
      </c>
      <c r="E15">
        <v>333.57</v>
      </c>
      <c r="F15">
        <v>371.75</v>
      </c>
      <c r="G15">
        <v>272.38</v>
      </c>
      <c r="H15">
        <v>309.17</v>
      </c>
      <c r="I15">
        <v>237.33</v>
      </c>
      <c r="J15">
        <v>308.58999999999997</v>
      </c>
      <c r="K15">
        <v>390.99</v>
      </c>
      <c r="L15">
        <v>288.67</v>
      </c>
      <c r="M15">
        <v>180.56</v>
      </c>
      <c r="N15">
        <v>118.54</v>
      </c>
      <c r="O15">
        <v>134.03</v>
      </c>
      <c r="P15">
        <v>127.09</v>
      </c>
      <c r="Q15">
        <v>101.32</v>
      </c>
      <c r="R15">
        <v>185.4</v>
      </c>
      <c r="S15">
        <v>217.23</v>
      </c>
      <c r="T15">
        <v>233.7</v>
      </c>
      <c r="U15">
        <v>266.38</v>
      </c>
      <c r="V15">
        <v>255.5</v>
      </c>
      <c r="W15">
        <v>197.37</v>
      </c>
      <c r="X15">
        <v>219.46</v>
      </c>
      <c r="Y15">
        <v>140.31</v>
      </c>
    </row>
    <row r="16" spans="1:25" x14ac:dyDescent="0.35">
      <c r="A16" s="75" t="s">
        <v>167</v>
      </c>
      <c r="B16">
        <v>4305.68</v>
      </c>
      <c r="C16">
        <v>4093.17</v>
      </c>
      <c r="D16">
        <v>4093.7</v>
      </c>
      <c r="E16">
        <v>4089.38</v>
      </c>
      <c r="F16">
        <v>4089.38</v>
      </c>
      <c r="G16">
        <v>4191.5200000000004</v>
      </c>
      <c r="H16">
        <v>4193.0600000000004</v>
      </c>
      <c r="I16">
        <v>4304.6899999999996</v>
      </c>
      <c r="J16">
        <v>4551.45</v>
      </c>
      <c r="K16">
        <v>4847.07</v>
      </c>
      <c r="L16">
        <v>4967.3100000000004</v>
      </c>
      <c r="M16">
        <v>4965.79</v>
      </c>
      <c r="N16">
        <v>4861.58</v>
      </c>
      <c r="O16">
        <v>4955.8100000000004</v>
      </c>
      <c r="P16">
        <v>5107.43</v>
      </c>
      <c r="Q16">
        <v>5062.59</v>
      </c>
      <c r="R16">
        <v>4980.45</v>
      </c>
      <c r="S16">
        <v>4900.5600000000004</v>
      </c>
      <c r="T16">
        <v>4952.2700000000004</v>
      </c>
      <c r="U16">
        <v>5132.3999999999996</v>
      </c>
      <c r="V16">
        <v>5061.18</v>
      </c>
      <c r="W16">
        <v>4894.3</v>
      </c>
      <c r="X16">
        <v>4704.6899999999996</v>
      </c>
      <c r="Y16">
        <v>4450.09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4C72-B686-4780-9B08-3131749DB530}">
  <dimension ref="A1:Y15"/>
  <sheetViews>
    <sheetView topLeftCell="Q1" workbookViewId="0">
      <selection activeCell="B14" sqref="B14:Y15"/>
    </sheetView>
  </sheetViews>
  <sheetFormatPr defaultRowHeight="14.5" x14ac:dyDescent="0.35"/>
  <sheetData>
    <row r="1" spans="1:25" x14ac:dyDescent="0.35">
      <c r="A1" s="75" t="s">
        <v>22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35">
      <c r="A2" s="75" t="s">
        <v>171</v>
      </c>
      <c r="B2">
        <v>60</v>
      </c>
      <c r="C2">
        <v>0</v>
      </c>
      <c r="D2">
        <v>19.5</v>
      </c>
      <c r="E2">
        <v>60</v>
      </c>
      <c r="F2">
        <v>60</v>
      </c>
      <c r="G2">
        <v>0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60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75" t="s">
        <v>172</v>
      </c>
      <c r="B3">
        <v>0</v>
      </c>
      <c r="C3">
        <v>60</v>
      </c>
      <c r="D3">
        <v>0</v>
      </c>
      <c r="E3">
        <v>0</v>
      </c>
      <c r="F3">
        <v>0</v>
      </c>
      <c r="G3">
        <v>0</v>
      </c>
      <c r="H3">
        <v>60</v>
      </c>
      <c r="I3">
        <v>0</v>
      </c>
      <c r="J3">
        <v>0</v>
      </c>
      <c r="K3">
        <v>0</v>
      </c>
      <c r="L3">
        <v>0</v>
      </c>
      <c r="M3">
        <v>60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19.5</v>
      </c>
      <c r="W3">
        <v>60</v>
      </c>
      <c r="X3">
        <v>0</v>
      </c>
      <c r="Y3">
        <v>60</v>
      </c>
    </row>
    <row r="4" spans="1:25" x14ac:dyDescent="0.35">
      <c r="A4" s="75" t="s">
        <v>173</v>
      </c>
      <c r="B4">
        <v>75.5</v>
      </c>
      <c r="C4">
        <v>15.5</v>
      </c>
      <c r="D4">
        <v>35</v>
      </c>
      <c r="E4">
        <v>95</v>
      </c>
      <c r="F4">
        <v>155</v>
      </c>
      <c r="G4">
        <v>155</v>
      </c>
      <c r="H4">
        <v>95</v>
      </c>
      <c r="I4">
        <v>155</v>
      </c>
      <c r="J4">
        <v>155</v>
      </c>
      <c r="K4">
        <v>155</v>
      </c>
      <c r="L4">
        <v>155</v>
      </c>
      <c r="M4">
        <v>95</v>
      </c>
      <c r="N4">
        <v>155</v>
      </c>
      <c r="O4">
        <v>155</v>
      </c>
      <c r="P4">
        <v>155</v>
      </c>
      <c r="Q4">
        <v>155</v>
      </c>
      <c r="R4">
        <v>155</v>
      </c>
      <c r="S4">
        <v>155</v>
      </c>
      <c r="T4">
        <v>155</v>
      </c>
      <c r="U4">
        <v>155</v>
      </c>
      <c r="V4">
        <v>135.5</v>
      </c>
      <c r="W4">
        <v>75.5</v>
      </c>
      <c r="X4">
        <v>75.5</v>
      </c>
      <c r="Y4">
        <v>15.5</v>
      </c>
    </row>
    <row r="5" spans="1:25" x14ac:dyDescent="0.35">
      <c r="A5" s="75" t="s">
        <v>174</v>
      </c>
      <c r="B5">
        <v>1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75" t="s">
        <v>175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35">
      <c r="A7" s="75" t="s">
        <v>176</v>
      </c>
      <c r="B7">
        <v>20</v>
      </c>
      <c r="C7">
        <v>0</v>
      </c>
      <c r="D7">
        <v>0</v>
      </c>
      <c r="E7">
        <v>20</v>
      </c>
      <c r="F7">
        <v>20</v>
      </c>
      <c r="G7">
        <v>0</v>
      </c>
      <c r="H7">
        <v>0</v>
      </c>
      <c r="I7">
        <v>20</v>
      </c>
      <c r="J7">
        <v>20</v>
      </c>
      <c r="K7">
        <v>0</v>
      </c>
      <c r="L7">
        <v>0</v>
      </c>
      <c r="M7">
        <v>0</v>
      </c>
      <c r="N7">
        <v>20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1.1699021037215971</v>
      </c>
      <c r="Y7">
        <v>13.830097896278399</v>
      </c>
    </row>
    <row r="8" spans="1:25" x14ac:dyDescent="0.35">
      <c r="A8" s="75" t="s">
        <v>177</v>
      </c>
      <c r="B8">
        <v>0</v>
      </c>
      <c r="C8">
        <v>20</v>
      </c>
      <c r="D8">
        <v>15</v>
      </c>
      <c r="E8">
        <v>0</v>
      </c>
      <c r="F8">
        <v>0</v>
      </c>
      <c r="G8">
        <v>20</v>
      </c>
      <c r="H8">
        <v>20</v>
      </c>
      <c r="I8">
        <v>0</v>
      </c>
      <c r="J8">
        <v>0</v>
      </c>
      <c r="K8">
        <v>0</v>
      </c>
      <c r="L8">
        <v>13.6699064750934</v>
      </c>
      <c r="M8">
        <v>6.3300935249066006</v>
      </c>
      <c r="N8">
        <v>0</v>
      </c>
      <c r="O8">
        <v>0</v>
      </c>
      <c r="P8">
        <v>0</v>
      </c>
      <c r="Q8">
        <v>0</v>
      </c>
      <c r="R8">
        <v>20</v>
      </c>
      <c r="S8">
        <v>0</v>
      </c>
      <c r="T8">
        <v>0</v>
      </c>
      <c r="U8">
        <v>0</v>
      </c>
      <c r="V8">
        <v>0</v>
      </c>
      <c r="W8">
        <v>20</v>
      </c>
      <c r="X8">
        <v>0</v>
      </c>
      <c r="Y8">
        <v>0</v>
      </c>
    </row>
    <row r="9" spans="1:25" x14ac:dyDescent="0.35">
      <c r="A9" s="75" t="s">
        <v>178</v>
      </c>
      <c r="B9">
        <v>45</v>
      </c>
      <c r="C9">
        <v>25</v>
      </c>
      <c r="D9">
        <v>10</v>
      </c>
      <c r="E9">
        <v>30</v>
      </c>
      <c r="F9">
        <v>50</v>
      </c>
      <c r="G9">
        <v>30</v>
      </c>
      <c r="H9">
        <v>10</v>
      </c>
      <c r="I9">
        <v>30</v>
      </c>
      <c r="J9">
        <v>50</v>
      </c>
      <c r="K9">
        <v>50</v>
      </c>
      <c r="L9">
        <v>36.330093524906601</v>
      </c>
      <c r="M9">
        <v>30</v>
      </c>
      <c r="N9">
        <v>50</v>
      </c>
      <c r="O9">
        <v>50</v>
      </c>
      <c r="P9">
        <v>50</v>
      </c>
      <c r="Q9">
        <v>50</v>
      </c>
      <c r="R9">
        <v>30</v>
      </c>
      <c r="S9">
        <v>30</v>
      </c>
      <c r="T9">
        <v>30</v>
      </c>
      <c r="U9">
        <v>30</v>
      </c>
      <c r="V9">
        <v>30</v>
      </c>
      <c r="W9">
        <v>10</v>
      </c>
      <c r="X9">
        <v>11.169902103721601</v>
      </c>
      <c r="Y9">
        <v>25</v>
      </c>
    </row>
    <row r="10" spans="1:25" x14ac:dyDescent="0.35">
      <c r="A10" s="75" t="s">
        <v>179</v>
      </c>
      <c r="B10">
        <v>1</v>
      </c>
      <c r="C10">
        <v>0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</row>
    <row r="11" spans="1:25" x14ac:dyDescent="0.35">
      <c r="A11" s="75" t="s">
        <v>180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1</v>
      </c>
      <c r="X11">
        <v>0</v>
      </c>
      <c r="Y11">
        <v>0</v>
      </c>
    </row>
    <row r="14" spans="1:25" x14ac:dyDescent="0.35">
      <c r="A14" s="76" t="s">
        <v>170</v>
      </c>
      <c r="B14">
        <f>(B2+B7)-(B3+B8)</f>
        <v>80</v>
      </c>
      <c r="C14">
        <f t="shared" ref="C14:Y14" si="0">(C2+C7)-(C3+C8)</f>
        <v>-80</v>
      </c>
      <c r="D14">
        <f t="shared" si="0"/>
        <v>4.5</v>
      </c>
      <c r="E14">
        <f t="shared" si="0"/>
        <v>80</v>
      </c>
      <c r="F14">
        <f t="shared" si="0"/>
        <v>80</v>
      </c>
      <c r="G14">
        <f t="shared" si="0"/>
        <v>-20</v>
      </c>
      <c r="H14">
        <f t="shared" si="0"/>
        <v>-80</v>
      </c>
      <c r="I14">
        <f t="shared" si="0"/>
        <v>80</v>
      </c>
      <c r="J14">
        <f t="shared" si="0"/>
        <v>20</v>
      </c>
      <c r="K14">
        <f t="shared" si="0"/>
        <v>0</v>
      </c>
      <c r="L14">
        <f t="shared" si="0"/>
        <v>-13.6699064750934</v>
      </c>
      <c r="M14">
        <f t="shared" si="0"/>
        <v>-66.330093524906601</v>
      </c>
      <c r="N14">
        <f t="shared" si="0"/>
        <v>80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-20</v>
      </c>
      <c r="S14">
        <f t="shared" si="0"/>
        <v>0</v>
      </c>
      <c r="T14">
        <f t="shared" si="0"/>
        <v>0</v>
      </c>
      <c r="U14">
        <f t="shared" si="0"/>
        <v>0</v>
      </c>
      <c r="V14">
        <f t="shared" si="0"/>
        <v>-19.5</v>
      </c>
      <c r="W14">
        <f t="shared" si="0"/>
        <v>-80</v>
      </c>
      <c r="X14">
        <f t="shared" si="0"/>
        <v>1.1699021037215971</v>
      </c>
      <c r="Y14">
        <f t="shared" si="0"/>
        <v>-46.169902103721597</v>
      </c>
    </row>
    <row r="15" spans="1:25" x14ac:dyDescent="0.35">
      <c r="A15" s="76" t="s">
        <v>147</v>
      </c>
      <c r="B15">
        <f>B4+B9</f>
        <v>120.5</v>
      </c>
      <c r="C15">
        <f t="shared" ref="C15:Y15" si="1">C4+C9</f>
        <v>40.5</v>
      </c>
      <c r="D15">
        <f t="shared" si="1"/>
        <v>45</v>
      </c>
      <c r="E15">
        <f t="shared" si="1"/>
        <v>125</v>
      </c>
      <c r="F15">
        <f t="shared" si="1"/>
        <v>205</v>
      </c>
      <c r="G15">
        <f t="shared" si="1"/>
        <v>185</v>
      </c>
      <c r="H15">
        <f t="shared" si="1"/>
        <v>105</v>
      </c>
      <c r="I15">
        <f t="shared" si="1"/>
        <v>185</v>
      </c>
      <c r="J15">
        <f t="shared" si="1"/>
        <v>205</v>
      </c>
      <c r="K15">
        <f t="shared" si="1"/>
        <v>205</v>
      </c>
      <c r="L15">
        <f t="shared" si="1"/>
        <v>191.3300935249066</v>
      </c>
      <c r="M15">
        <f t="shared" si="1"/>
        <v>125</v>
      </c>
      <c r="N15">
        <f t="shared" si="1"/>
        <v>205</v>
      </c>
      <c r="O15">
        <f t="shared" si="1"/>
        <v>205</v>
      </c>
      <c r="P15">
        <f t="shared" si="1"/>
        <v>205</v>
      </c>
      <c r="Q15">
        <f t="shared" si="1"/>
        <v>205</v>
      </c>
      <c r="R15">
        <f t="shared" si="1"/>
        <v>185</v>
      </c>
      <c r="S15">
        <f t="shared" si="1"/>
        <v>185</v>
      </c>
      <c r="T15">
        <f t="shared" si="1"/>
        <v>185</v>
      </c>
      <c r="U15">
        <f t="shared" si="1"/>
        <v>185</v>
      </c>
      <c r="V15">
        <f t="shared" si="1"/>
        <v>165.5</v>
      </c>
      <c r="W15">
        <f t="shared" si="1"/>
        <v>85.5</v>
      </c>
      <c r="X15">
        <f t="shared" si="1"/>
        <v>86.669902103721597</v>
      </c>
      <c r="Y15">
        <f t="shared" si="1"/>
        <v>40.5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492B-EBDB-4ADB-8163-4C38204F5C26}">
  <dimension ref="A1:CA42"/>
  <sheetViews>
    <sheetView topLeftCell="A4" zoomScale="70" zoomScaleNormal="70" workbookViewId="0">
      <selection activeCell="C23" sqref="C23"/>
    </sheetView>
  </sheetViews>
  <sheetFormatPr defaultRowHeight="14.5" x14ac:dyDescent="0.35"/>
  <cols>
    <col min="55" max="55" width="16.1796875" bestFit="1" customWidth="1"/>
  </cols>
  <sheetData>
    <row r="1" spans="1:79" x14ac:dyDescent="0.35">
      <c r="A1" s="23" t="s">
        <v>115</v>
      </c>
    </row>
    <row r="2" spans="1:79" x14ac:dyDescent="0.35">
      <c r="A2" s="23" t="s">
        <v>114</v>
      </c>
      <c r="AB2" t="s">
        <v>118</v>
      </c>
      <c r="BC2" t="s">
        <v>123</v>
      </c>
    </row>
    <row r="3" spans="1:79" ht="14.5" customHeight="1" x14ac:dyDescent="0.35">
      <c r="A3" s="62" t="s">
        <v>44</v>
      </c>
      <c r="B3" s="63"/>
      <c r="C3" s="66" t="s">
        <v>22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B3" s="62" t="s">
        <v>44</v>
      </c>
      <c r="AC3" s="63"/>
      <c r="AD3" s="66" t="s">
        <v>22</v>
      </c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C3" s="66" t="s">
        <v>46</v>
      </c>
      <c r="BD3" s="66" t="s">
        <v>22</v>
      </c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</row>
    <row r="4" spans="1:79" x14ac:dyDescent="0.35">
      <c r="A4" s="64"/>
      <c r="B4" s="65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4">
        <v>9</v>
      </c>
      <c r="L4" s="14">
        <v>10</v>
      </c>
      <c r="M4" s="14">
        <v>11</v>
      </c>
      <c r="N4" s="14">
        <v>12</v>
      </c>
      <c r="O4" s="14">
        <v>13</v>
      </c>
      <c r="P4" s="14">
        <v>14</v>
      </c>
      <c r="Q4" s="14">
        <v>15</v>
      </c>
      <c r="R4" s="14">
        <v>16</v>
      </c>
      <c r="S4" s="14">
        <v>17</v>
      </c>
      <c r="T4" s="14">
        <v>18</v>
      </c>
      <c r="U4" s="14">
        <v>19</v>
      </c>
      <c r="V4" s="14">
        <v>20</v>
      </c>
      <c r="W4" s="14">
        <v>21</v>
      </c>
      <c r="X4" s="14">
        <v>22</v>
      </c>
      <c r="Y4" s="14">
        <v>23</v>
      </c>
      <c r="Z4" s="14">
        <v>24</v>
      </c>
      <c r="AB4" s="64"/>
      <c r="AC4" s="65"/>
      <c r="AD4" s="14">
        <v>1</v>
      </c>
      <c r="AE4" s="14">
        <v>2</v>
      </c>
      <c r="AF4" s="14">
        <v>3</v>
      </c>
      <c r="AG4" s="14">
        <v>4</v>
      </c>
      <c r="AH4" s="14">
        <v>5</v>
      </c>
      <c r="AI4" s="14">
        <v>6</v>
      </c>
      <c r="AJ4" s="14">
        <v>7</v>
      </c>
      <c r="AK4" s="14">
        <v>8</v>
      </c>
      <c r="AL4" s="14">
        <v>9</v>
      </c>
      <c r="AM4" s="14">
        <v>10</v>
      </c>
      <c r="AN4" s="14">
        <v>11</v>
      </c>
      <c r="AO4" s="14">
        <v>12</v>
      </c>
      <c r="AP4" s="14">
        <v>13</v>
      </c>
      <c r="AQ4" s="14">
        <v>14</v>
      </c>
      <c r="AR4" s="14">
        <v>15</v>
      </c>
      <c r="AS4" s="14">
        <v>16</v>
      </c>
      <c r="AT4" s="14">
        <v>17</v>
      </c>
      <c r="AU4" s="14">
        <v>18</v>
      </c>
      <c r="AV4" s="14">
        <v>19</v>
      </c>
      <c r="AW4" s="14">
        <v>20</v>
      </c>
      <c r="AX4" s="14">
        <v>21</v>
      </c>
      <c r="AY4" s="14">
        <v>22</v>
      </c>
      <c r="AZ4" s="14">
        <v>23</v>
      </c>
      <c r="BA4" s="14">
        <v>24</v>
      </c>
      <c r="BC4" s="66"/>
      <c r="BD4" s="14">
        <v>1</v>
      </c>
      <c r="BE4" s="14">
        <v>2</v>
      </c>
      <c r="BF4" s="14">
        <v>3</v>
      </c>
      <c r="BG4" s="14">
        <v>4</v>
      </c>
      <c r="BH4" s="14">
        <v>5</v>
      </c>
      <c r="BI4" s="14">
        <v>6</v>
      </c>
      <c r="BJ4" s="14">
        <v>7</v>
      </c>
      <c r="BK4" s="14">
        <v>8</v>
      </c>
      <c r="BL4" s="14">
        <v>9</v>
      </c>
      <c r="BM4" s="14">
        <v>10</v>
      </c>
      <c r="BN4" s="14">
        <v>11</v>
      </c>
      <c r="BO4" s="14">
        <v>12</v>
      </c>
      <c r="BP4" s="14">
        <v>13</v>
      </c>
      <c r="BQ4" s="14">
        <v>14</v>
      </c>
      <c r="BR4" s="14">
        <v>15</v>
      </c>
      <c r="BS4" s="14">
        <v>16</v>
      </c>
      <c r="BT4" s="14">
        <v>17</v>
      </c>
      <c r="BU4" s="14">
        <v>18</v>
      </c>
      <c r="BV4" s="14">
        <v>19</v>
      </c>
      <c r="BW4" s="14">
        <v>20</v>
      </c>
      <c r="BX4" s="14">
        <v>21</v>
      </c>
      <c r="BY4" s="14">
        <v>22</v>
      </c>
      <c r="BZ4" s="14">
        <v>23</v>
      </c>
      <c r="CA4" s="14">
        <v>24</v>
      </c>
    </row>
    <row r="5" spans="1:79" x14ac:dyDescent="0.35">
      <c r="A5" s="13" t="s">
        <v>34</v>
      </c>
      <c r="B5" s="13" t="s">
        <v>60</v>
      </c>
      <c r="C5" s="15">
        <f>Sheet1!BQ79-Sheet1!CR79</f>
        <v>0</v>
      </c>
      <c r="D5" s="15">
        <f>Sheet1!BR79-Sheet1!CS79</f>
        <v>207</v>
      </c>
      <c r="E5" s="15">
        <f>Sheet1!BS79-Sheet1!CT79</f>
        <v>207</v>
      </c>
      <c r="F5" s="15">
        <f>Sheet1!BT79-Sheet1!CU79</f>
        <v>207</v>
      </c>
      <c r="G5" s="15">
        <f>Sheet1!BU79-Sheet1!CV79</f>
        <v>207</v>
      </c>
      <c r="H5" s="15">
        <f>Sheet1!BV79-Sheet1!CW79</f>
        <v>207</v>
      </c>
      <c r="I5" s="15">
        <f>Sheet1!BW79-Sheet1!CX79</f>
        <v>207</v>
      </c>
      <c r="J5" s="15">
        <f>Sheet1!BX79-Sheet1!CY79</f>
        <v>207</v>
      </c>
      <c r="K5" s="15">
        <f>Sheet1!BY79-Sheet1!CZ79</f>
        <v>207</v>
      </c>
      <c r="L5" s="15">
        <f>Sheet1!BZ79-Sheet1!DA79</f>
        <v>207</v>
      </c>
      <c r="M5" s="15">
        <f>Sheet1!CA79-Sheet1!DB79</f>
        <v>207.00000000000011</v>
      </c>
      <c r="N5" s="15">
        <f>Sheet1!CB79-Sheet1!DC79</f>
        <v>207</v>
      </c>
      <c r="O5" s="15">
        <f>Sheet1!CC79-Sheet1!DD79</f>
        <v>207</v>
      </c>
      <c r="P5" s="15">
        <f>Sheet1!CD79-Sheet1!DE79</f>
        <v>207</v>
      </c>
      <c r="Q5" s="15">
        <f>Sheet1!CE79-Sheet1!DF79</f>
        <v>137.29396040816329</v>
      </c>
      <c r="R5" s="15">
        <f>Sheet1!CF79-Sheet1!DG79</f>
        <v>144.92522811143061</v>
      </c>
      <c r="S5" s="15">
        <f>Sheet1!CG79-Sheet1!DH79</f>
        <v>175.99539935600293</v>
      </c>
      <c r="T5" s="15">
        <f>Sheet1!CH79-Sheet1!DI79</f>
        <v>207</v>
      </c>
      <c r="U5" s="15">
        <f>Sheet1!CI79-Sheet1!DJ79</f>
        <v>207</v>
      </c>
      <c r="V5" s="15">
        <f>Sheet1!CJ79-Sheet1!DK79</f>
        <v>207</v>
      </c>
      <c r="W5" s="15">
        <f>Sheet1!CK79-Sheet1!DL79</f>
        <v>143.29282132889699</v>
      </c>
      <c r="X5" s="15">
        <f>Sheet1!CL79-Sheet1!DM79</f>
        <v>152.59290366815304</v>
      </c>
      <c r="Y5" s="15">
        <f>Sheet1!CM79-Sheet1!DN79</f>
        <v>163.7405210518607</v>
      </c>
      <c r="Z5" s="15">
        <f>Sheet1!CN79-Sheet1!DO79</f>
        <v>206.99999999999989</v>
      </c>
      <c r="AB5" s="13" t="s">
        <v>34</v>
      </c>
      <c r="AC5" s="13" t="s">
        <v>60</v>
      </c>
      <c r="AD5" s="44">
        <f>IF(Sheet1!AG79=MAX(Sheet1!AG$79:AG$88),0,1)</f>
        <v>0</v>
      </c>
      <c r="AE5" s="44">
        <f>IF(Sheet1!AH79=MAX(Sheet1!AH$79:AH$88),0,1)</f>
        <v>0</v>
      </c>
      <c r="AF5" s="44">
        <f>IF(Sheet1!AI79=MAX(Sheet1!AI$79:AI$88),0,1)</f>
        <v>0</v>
      </c>
      <c r="AG5" s="44">
        <f>IF(Sheet1!AJ79=MAX(Sheet1!AJ$79:AJ$88),0,1)</f>
        <v>0</v>
      </c>
      <c r="AH5" s="44">
        <f>IF(Sheet1!AK79=MAX(Sheet1!AK$79:AK$88),0,1)</f>
        <v>0</v>
      </c>
      <c r="AI5" s="44">
        <f>IF(Sheet1!AL79=MAX(Sheet1!AL$79:AL$88),0,1)</f>
        <v>0</v>
      </c>
      <c r="AJ5" s="44">
        <f>IF(Sheet1!AM79=MAX(Sheet1!AM$79:AM$88),0,1)</f>
        <v>1</v>
      </c>
      <c r="AK5" s="44">
        <f>IF(Sheet1!AN79=MAX(Sheet1!AN$79:AN$88),0,1)</f>
        <v>1</v>
      </c>
      <c r="AL5" s="44">
        <f>IF(Sheet1!AO79=MAX(Sheet1!AO$79:AO$88),0,1)</f>
        <v>1</v>
      </c>
      <c r="AM5" s="44">
        <f>IF(Sheet1!AP79=MAX(Sheet1!AP$79:AP$88),0,1)</f>
        <v>1</v>
      </c>
      <c r="AN5" s="44">
        <f>IF(Sheet1!AQ79=MAX(Sheet1!AQ$79:AQ$88),0,1)</f>
        <v>1</v>
      </c>
      <c r="AO5" s="44">
        <f>IF(Sheet1!AR79=MAX(Sheet1!AR$79:AR$88),0,1)</f>
        <v>1</v>
      </c>
      <c r="AP5" s="44">
        <f>IF(Sheet1!AS79=MAX(Sheet1!AS$79:AS$88),0,1)</f>
        <v>1</v>
      </c>
      <c r="AQ5" s="44">
        <f>IF(Sheet1!AT79=MAX(Sheet1!AT$79:AT$88),0,1)</f>
        <v>1</v>
      </c>
      <c r="AR5" s="44">
        <f>IF(Sheet1!AU79=MAX(Sheet1!AU$79:AU$88),0,1)</f>
        <v>1</v>
      </c>
      <c r="AS5" s="44">
        <f>IF(Sheet1!AV79=MAX(Sheet1!AV$79:AV$88),0,1)</f>
        <v>1</v>
      </c>
      <c r="AT5" s="44">
        <f>IF(Sheet1!AW79=MAX(Sheet1!AW$79:AW$88),0,1)</f>
        <v>1</v>
      </c>
      <c r="AU5" s="44">
        <f>IF(Sheet1!AX79=MAX(Sheet1!AX$79:AX$88),0,1)</f>
        <v>1</v>
      </c>
      <c r="AV5" s="44">
        <f>IF(Sheet1!AY79=MAX(Sheet1!AY$79:AY$88),0,1)</f>
        <v>1</v>
      </c>
      <c r="AW5" s="44">
        <f>IF(Sheet1!AZ79=MAX(Sheet1!AZ$79:AZ$88),0,1)</f>
        <v>1</v>
      </c>
      <c r="AX5" s="44">
        <f>IF(Sheet1!BA79=MAX(Sheet1!BA$79:BA$88),0,1)</f>
        <v>1</v>
      </c>
      <c r="AY5" s="44">
        <f>IF(Sheet1!BB79=MAX(Sheet1!BB$79:BB$88),0,1)</f>
        <v>1</v>
      </c>
      <c r="AZ5" s="44">
        <f>IF(Sheet1!BC79=MAX(Sheet1!BC$79:BC$88),0,1)</f>
        <v>1</v>
      </c>
      <c r="BA5" s="44">
        <f>IF(Sheet1!BD79=MAX(Sheet1!BD$79:BD$88),0,1)</f>
        <v>1</v>
      </c>
      <c r="BC5" s="13" t="s">
        <v>117</v>
      </c>
      <c r="BD5" s="22">
        <f>MAX(Sheet1!AG79:AG88)</f>
        <v>1056</v>
      </c>
      <c r="BE5" s="22">
        <f>MAX(Sheet1!AH79:AH88)</f>
        <v>936</v>
      </c>
      <c r="BF5" s="22">
        <f>MAX(Sheet1!AI79:AI88)</f>
        <v>815.99999999999875</v>
      </c>
      <c r="BG5" s="22">
        <f>MAX(Sheet1!AJ79:AJ88)</f>
        <v>773.74135333333334</v>
      </c>
      <c r="BH5" s="22">
        <f>MAX(Sheet1!AK79:AK88)</f>
        <v>893.74135333333334</v>
      </c>
      <c r="BI5" s="22">
        <f>MAX(Sheet1!AL79:AL88)</f>
        <v>773.74135333333334</v>
      </c>
      <c r="BJ5" s="22">
        <f>MAX(Sheet1!AM79:AM88)</f>
        <v>870</v>
      </c>
      <c r="BK5" s="22">
        <f>MAX(Sheet1!AN79:AN88)</f>
        <v>870</v>
      </c>
      <c r="BL5" s="22">
        <f>MAX(Sheet1!AO79:AO88)</f>
        <v>750</v>
      </c>
      <c r="BM5" s="22">
        <f>MAX(Sheet1!AP79:AP88)</f>
        <v>882.01206000000002</v>
      </c>
      <c r="BN5" s="22">
        <f>MAX(Sheet1!AQ79:AQ88)</f>
        <v>887.20348000000001</v>
      </c>
      <c r="BO5" s="22">
        <f>MAX(Sheet1!AR79:AR88)</f>
        <v>887.2034799999999</v>
      </c>
      <c r="BP5" s="22">
        <f>MAX(Sheet1!AS79:AS88)</f>
        <v>887.20348000000001</v>
      </c>
      <c r="BQ5" s="22">
        <f>MAX(Sheet1!AT79:AT88)</f>
        <v>887.20348000000001</v>
      </c>
      <c r="BR5" s="22">
        <f>MAX(Sheet1!AU79:AU88)</f>
        <v>956.90951959183667</v>
      </c>
      <c r="BS5" s="22">
        <f>MAX(Sheet1!AV79:AV88)</f>
        <v>949.27825188856946</v>
      </c>
      <c r="BT5" s="22">
        <f>MAX(Sheet1!AW79:AW88)</f>
        <v>918.20808064399682</v>
      </c>
      <c r="BU5" s="22">
        <f>MAX(Sheet1!AX79:AX88)</f>
        <v>887.20348000000001</v>
      </c>
      <c r="BV5" s="22">
        <f>MAX(Sheet1!AY79:AY88)</f>
        <v>887.20348000000001</v>
      </c>
      <c r="BW5" s="22">
        <f>MAX(Sheet1!AZ79:AZ88)</f>
        <v>882.01206000000002</v>
      </c>
      <c r="BX5" s="22">
        <f>MAX(Sheet1!BA79:BA88)</f>
        <v>950.91065867110296</v>
      </c>
      <c r="BY5" s="22">
        <f>MAX(Sheet1!BB79:BB88)</f>
        <v>941.61057633184691</v>
      </c>
      <c r="BZ5" s="22">
        <f>MAX(Sheet1!BC79:BC88)</f>
        <v>946.16075894813923</v>
      </c>
      <c r="CA5" s="22">
        <f>MAX(Sheet1!BD79:BD88)</f>
        <v>902.90128000000004</v>
      </c>
    </row>
    <row r="6" spans="1:79" x14ac:dyDescent="0.35">
      <c r="A6" s="13" t="s">
        <v>35</v>
      </c>
      <c r="B6" s="13" t="s">
        <v>62</v>
      </c>
      <c r="C6" s="15">
        <f>Sheet1!BQ80-Sheet1!CR80</f>
        <v>688.22274000000016</v>
      </c>
      <c r="D6" s="15">
        <f>Sheet1!BR80-Sheet1!CS80</f>
        <v>590.4462677551021</v>
      </c>
      <c r="E6" s="15">
        <f>Sheet1!BS80-Sheet1!CT80</f>
        <v>703.20348000000001</v>
      </c>
      <c r="F6" s="15">
        <f>Sheet1!BT80-Sheet1!CU80</f>
        <v>703.20348000000001</v>
      </c>
      <c r="G6" s="15">
        <f>Sheet1!BU80-Sheet1!CV80</f>
        <v>453.04416877494236</v>
      </c>
      <c r="H6" s="15">
        <f>Sheet1!BV80-Sheet1!CW80</f>
        <v>703.20348000000001</v>
      </c>
      <c r="I6" s="15">
        <f>Sheet1!BW80-Sheet1!CX80</f>
        <v>556.42754000000002</v>
      </c>
      <c r="J6" s="15">
        <f>Sheet1!BX80-Sheet1!CY80</f>
        <v>604.7960134351373</v>
      </c>
      <c r="K6" s="15">
        <f>Sheet1!BY80-Sheet1!CZ80</f>
        <v>304.7960134351373</v>
      </c>
      <c r="L6" s="15">
        <f>Sheet1!BZ80-Sheet1!DA80</f>
        <v>247.36768703712676</v>
      </c>
      <c r="M6" s="15">
        <f>Sheet1!CA80-Sheet1!DB80</f>
        <v>156</v>
      </c>
      <c r="N6" s="15">
        <f>Sheet1!CB80-Sheet1!DC80</f>
        <v>156.00000000000011</v>
      </c>
      <c r="O6" s="15">
        <f>Sheet1!CC80-Sheet1!DD80</f>
        <v>156</v>
      </c>
      <c r="P6" s="15">
        <f>Sheet1!CD80-Sheet1!DE80</f>
        <v>156</v>
      </c>
      <c r="Q6" s="15">
        <f>Sheet1!CE80-Sheet1!DF80</f>
        <v>86.293960408163329</v>
      </c>
      <c r="R6" s="15">
        <f>Sheet1!CF80-Sheet1!DG80</f>
        <v>93.925228111430542</v>
      </c>
      <c r="S6" s="15">
        <f>Sheet1!CG80-Sheet1!DH80</f>
        <v>124.99539935600318</v>
      </c>
      <c r="T6" s="15">
        <f>Sheet1!CH80-Sheet1!DI80</f>
        <v>156</v>
      </c>
      <c r="U6" s="15">
        <f>Sheet1!CI80-Sheet1!DJ80</f>
        <v>156</v>
      </c>
      <c r="V6" s="15">
        <f>Sheet1!CJ80-Sheet1!DK80</f>
        <v>276.87018771316843</v>
      </c>
      <c r="W6" s="15">
        <f>Sheet1!CK80-Sheet1!DL80</f>
        <v>92.292821328897034</v>
      </c>
      <c r="X6" s="15">
        <f>Sheet1!CL80-Sheet1!DM80</f>
        <v>101.59290366815308</v>
      </c>
      <c r="Y6" s="15">
        <f>Sheet1!CM80-Sheet1!DN80</f>
        <v>112.74052105186077</v>
      </c>
      <c r="Z6" s="15">
        <f>Sheet1!CN80-Sheet1!DO80</f>
        <v>155.99999999999994</v>
      </c>
      <c r="AB6" s="13" t="s">
        <v>35</v>
      </c>
      <c r="AC6" s="13" t="s">
        <v>62</v>
      </c>
      <c r="AD6" s="44">
        <f>IF(Sheet1!AG80=MAX(Sheet1!AG$79:AG$88),0,1)</f>
        <v>1</v>
      </c>
      <c r="AE6" s="44">
        <f>IF(Sheet1!AH80=MAX(Sheet1!AH$79:AH$88),0,1)</f>
        <v>1</v>
      </c>
      <c r="AF6" s="44">
        <f>IF(Sheet1!AI80=MAX(Sheet1!AI$79:AI$88),0,1)</f>
        <v>1</v>
      </c>
      <c r="AG6" s="44">
        <f>IF(Sheet1!AJ80=MAX(Sheet1!AJ$79:AJ$88),0,1)</f>
        <v>1</v>
      </c>
      <c r="AH6" s="44">
        <f>IF(Sheet1!AK80=MAX(Sheet1!AK$79:AK$88),0,1)</f>
        <v>1</v>
      </c>
      <c r="AI6" s="44">
        <f>IF(Sheet1!AL80=MAX(Sheet1!AL$79:AL$88),0,1)</f>
        <v>1</v>
      </c>
      <c r="AJ6" s="44">
        <f>IF(Sheet1!AM80=MAX(Sheet1!AM$79:AM$88),0,1)</f>
        <v>1</v>
      </c>
      <c r="AK6" s="44">
        <f>IF(Sheet1!AN80=MAX(Sheet1!AN$79:AN$88),0,1)</f>
        <v>1</v>
      </c>
      <c r="AL6" s="44">
        <f>IF(Sheet1!AO80=MAX(Sheet1!AO$79:AO$88),0,1)</f>
        <v>1</v>
      </c>
      <c r="AM6" s="44">
        <f>IF(Sheet1!AP80=MAX(Sheet1!AP$79:AP$88),0,1)</f>
        <v>1</v>
      </c>
      <c r="AN6" s="44">
        <f>IF(Sheet1!AQ80=MAX(Sheet1!AQ$79:AQ$88),0,1)</f>
        <v>0</v>
      </c>
      <c r="AO6" s="44">
        <f>IF(Sheet1!AR80=MAX(Sheet1!AR$79:AR$88),0,1)</f>
        <v>0</v>
      </c>
      <c r="AP6" s="44">
        <f>IF(Sheet1!AS80=MAX(Sheet1!AS$79:AS$88),0,1)</f>
        <v>0</v>
      </c>
      <c r="AQ6" s="44">
        <f>IF(Sheet1!AT80=MAX(Sheet1!AT$79:AT$88),0,1)</f>
        <v>0</v>
      </c>
      <c r="AR6" s="44">
        <f>IF(Sheet1!AU80=MAX(Sheet1!AU$79:AU$88),0,1)</f>
        <v>0</v>
      </c>
      <c r="AS6" s="44">
        <f>IF(Sheet1!AV80=MAX(Sheet1!AV$79:AV$88),0,1)</f>
        <v>0</v>
      </c>
      <c r="AT6" s="44">
        <f>IF(Sheet1!AW80=MAX(Sheet1!AW$79:AW$88),0,1)</f>
        <v>0</v>
      </c>
      <c r="AU6" s="44">
        <f>IF(Sheet1!AX80=MAX(Sheet1!AX$79:AX$88),0,1)</f>
        <v>0</v>
      </c>
      <c r="AV6" s="44">
        <f>IF(Sheet1!AY80=MAX(Sheet1!AY$79:AY$88),0,1)</f>
        <v>0</v>
      </c>
      <c r="AW6" s="44">
        <f>IF(Sheet1!AZ80=MAX(Sheet1!AZ$79:AZ$88),0,1)</f>
        <v>1</v>
      </c>
      <c r="AX6" s="44">
        <f>IF(Sheet1!BA80=MAX(Sheet1!BA$79:BA$88),0,1)</f>
        <v>0</v>
      </c>
      <c r="AY6" s="44">
        <f>IF(Sheet1!BB80=MAX(Sheet1!BB$79:BB$88),0,1)</f>
        <v>0</v>
      </c>
      <c r="AZ6" s="44">
        <f>IF(Sheet1!BC80=MAX(Sheet1!BC$79:BC$88),0,1)</f>
        <v>0</v>
      </c>
      <c r="BA6" s="44">
        <f>IF(Sheet1!BD80=MAX(Sheet1!BD$79:BD$88),0,1)</f>
        <v>0</v>
      </c>
      <c r="BC6" s="13" t="s">
        <v>119</v>
      </c>
      <c r="BD6" s="22">
        <f>SUM(Sheet1!BQ79:BQ88)</f>
        <v>3432.3231653412695</v>
      </c>
      <c r="BE6" s="22">
        <f>SUM(Sheet1!BR79:BR88)</f>
        <v>2711.8315460799131</v>
      </c>
      <c r="BF6" s="22">
        <f>SUM(Sheet1!BS79:BS88)</f>
        <v>2795.798214372835</v>
      </c>
      <c r="BG6" s="22">
        <f>SUM(Sheet1!BT79:BT88)</f>
        <v>2875.6166287749425</v>
      </c>
      <c r="BH6" s="22">
        <f>SUM(Sheet1!BU79:BU88)</f>
        <v>2875.6166287749425</v>
      </c>
      <c r="BI6" s="22">
        <f>SUM(Sheet1!BV79:BV88)</f>
        <v>2673.4789774113278</v>
      </c>
      <c r="BJ6" s="22">
        <f>SUM(Sheet1!BW79:BW88)</f>
        <v>2611.9395892081766</v>
      </c>
      <c r="BK6" s="22">
        <f>SUM(Sheet1!BX79:BX88)</f>
        <v>2660.3080626433139</v>
      </c>
      <c r="BL6" s="22">
        <f>SUM(Sheet1!BY79:BY88)</f>
        <v>2353.5459394057671</v>
      </c>
      <c r="BM6" s="22">
        <f>SUM(Sheet1!BZ79:BZ88)</f>
        <v>2037.9280870371267</v>
      </c>
      <c r="BN6" s="22">
        <f>SUM(Sheet1!CA79:CA88)</f>
        <v>1904.0154403083379</v>
      </c>
      <c r="BO6" s="22">
        <f>SUM(Sheet1!CB79:CB88)</f>
        <v>1852.8842464750937</v>
      </c>
      <c r="BP6" s="22">
        <f>SUM(Sheet1!CC79:CC88)</f>
        <v>2103.4154110357617</v>
      </c>
      <c r="BQ6" s="22">
        <f>SUM(Sheet1!CD79:CD88)</f>
        <v>1929.1887476216034</v>
      </c>
      <c r="BR6" s="22">
        <f>SUM(Sheet1!CE79:CE88)</f>
        <v>1777.5729892179343</v>
      </c>
      <c r="BS6" s="22">
        <f>SUM(Sheet1!CF79:CF88)</f>
        <v>1822.4108562228612</v>
      </c>
      <c r="BT6" s="22">
        <f>SUM(Sheet1!CG79:CG88)</f>
        <v>1884.5511987120062</v>
      </c>
      <c r="BU6" s="22">
        <f>SUM(Sheet1!CH79:CH88)</f>
        <v>1984.4431555837436</v>
      </c>
      <c r="BV6" s="22">
        <f>SUM(Sheet1!CI79:CI88)</f>
        <v>1932.7277006391178</v>
      </c>
      <c r="BW6" s="22">
        <f>SUM(Sheet1!CJ79:CJ88)</f>
        <v>1752.6</v>
      </c>
      <c r="BX6" s="22">
        <f>SUM(Sheet1!CK79:CK88)</f>
        <v>1804.3154549446256</v>
      </c>
      <c r="BY6" s="22">
        <f>SUM(Sheet1!CL79:CL88)</f>
        <v>1910.7010567400102</v>
      </c>
      <c r="BZ6" s="22">
        <f>SUM(Sheet1!CM79:CM88)</f>
        <v>1371.4810421037214</v>
      </c>
      <c r="CA6" s="22">
        <f>SUM(Sheet1!CN79:CN88)</f>
        <v>1578.7434980728885</v>
      </c>
    </row>
    <row r="7" spans="1:79" x14ac:dyDescent="0.35">
      <c r="A7" s="13" t="s">
        <v>36</v>
      </c>
      <c r="B7" s="13" t="s">
        <v>63</v>
      </c>
      <c r="C7" s="15">
        <f>Sheet1!BQ81-Sheet1!CR81</f>
        <v>0</v>
      </c>
      <c r="D7" s="15">
        <f>Sheet1!BR81-Sheet1!CS81</f>
        <v>0</v>
      </c>
      <c r="E7" s="15">
        <f>Sheet1!BS81-Sheet1!CT81</f>
        <v>0</v>
      </c>
      <c r="F7" s="15">
        <f>Sheet1!BT81-Sheet1!CU81</f>
        <v>0</v>
      </c>
      <c r="G7" s="15">
        <f>Sheet1!BU81-Sheet1!CV81</f>
        <v>0</v>
      </c>
      <c r="H7" s="15">
        <f>Sheet1!BV81-Sheet1!CW81</f>
        <v>0</v>
      </c>
      <c r="I7" s="15">
        <f>Sheet1!BW81-Sheet1!CX81</f>
        <v>0</v>
      </c>
      <c r="J7" s="15">
        <f>Sheet1!BX81-Sheet1!CY81</f>
        <v>0</v>
      </c>
      <c r="K7" s="15">
        <f>Sheet1!BY81-Sheet1!CZ81</f>
        <v>0</v>
      </c>
      <c r="L7" s="15">
        <f>Sheet1!BZ81-Sheet1!DA81</f>
        <v>0</v>
      </c>
      <c r="M7" s="15">
        <f>Sheet1!CA81-Sheet1!DB81</f>
        <v>0</v>
      </c>
      <c r="N7" s="15">
        <f>Sheet1!CB81-Sheet1!DC81</f>
        <v>0</v>
      </c>
      <c r="O7" s="15">
        <f>Sheet1!CC81-Sheet1!DD81</f>
        <v>0</v>
      </c>
      <c r="P7" s="15">
        <f>Sheet1!CD81-Sheet1!DE81</f>
        <v>0</v>
      </c>
      <c r="Q7" s="15">
        <f>Sheet1!CE81-Sheet1!DF81</f>
        <v>0</v>
      </c>
      <c r="R7" s="15">
        <f>Sheet1!CF81-Sheet1!DG81</f>
        <v>0</v>
      </c>
      <c r="S7" s="15">
        <f>Sheet1!CG81-Sheet1!DH81</f>
        <v>0</v>
      </c>
      <c r="T7" s="15">
        <f>Sheet1!CH81-Sheet1!DI81</f>
        <v>0</v>
      </c>
      <c r="U7" s="15">
        <f>Sheet1!CI81-Sheet1!DJ81</f>
        <v>0</v>
      </c>
      <c r="V7" s="15">
        <f>Sheet1!CJ81-Sheet1!DK81</f>
        <v>0</v>
      </c>
      <c r="W7" s="15">
        <f>Sheet1!CK81-Sheet1!DL81</f>
        <v>0</v>
      </c>
      <c r="X7" s="15">
        <f>Sheet1!CL81-Sheet1!DM81</f>
        <v>0</v>
      </c>
      <c r="Y7" s="15">
        <f>Sheet1!CM81-Sheet1!DN81</f>
        <v>0</v>
      </c>
      <c r="Z7" s="15">
        <f>Sheet1!CN81-Sheet1!DO81</f>
        <v>0</v>
      </c>
      <c r="AB7" s="13" t="s">
        <v>36</v>
      </c>
      <c r="AC7" s="13" t="s">
        <v>63</v>
      </c>
      <c r="AD7" s="44">
        <f>IF(Sheet1!AG81=MAX(Sheet1!AG$79:AG$88),0,1)</f>
        <v>1</v>
      </c>
      <c r="AE7" s="44">
        <f>IF(Sheet1!AH81=MAX(Sheet1!AH$79:AH$88),0,1)</f>
        <v>1</v>
      </c>
      <c r="AF7" s="44">
        <f>IF(Sheet1!AI81=MAX(Sheet1!AI$79:AI$88),0,1)</f>
        <v>1</v>
      </c>
      <c r="AG7" s="44">
        <f>IF(Sheet1!AJ81=MAX(Sheet1!AJ$79:AJ$88),0,1)</f>
        <v>1</v>
      </c>
      <c r="AH7" s="44">
        <f>IF(Sheet1!AK81=MAX(Sheet1!AK$79:AK$88),0,1)</f>
        <v>1</v>
      </c>
      <c r="AI7" s="44">
        <f>IF(Sheet1!AL81=MAX(Sheet1!AL$79:AL$88),0,1)</f>
        <v>0</v>
      </c>
      <c r="AJ7" s="44">
        <f>IF(Sheet1!AM81=MAX(Sheet1!AM$79:AM$88),0,1)</f>
        <v>1</v>
      </c>
      <c r="AK7" s="44">
        <f>IF(Sheet1!AN81=MAX(Sheet1!AN$79:AN$88),0,1)</f>
        <v>1</v>
      </c>
      <c r="AL7" s="44">
        <f>IF(Sheet1!AO81=MAX(Sheet1!AO$79:AO$88),0,1)</f>
        <v>1</v>
      </c>
      <c r="AM7" s="44">
        <f>IF(Sheet1!AP81=MAX(Sheet1!AP$79:AP$88),0,1)</f>
        <v>1</v>
      </c>
      <c r="AN7" s="44">
        <f>IF(Sheet1!AQ81=MAX(Sheet1!AQ$79:AQ$88),0,1)</f>
        <v>1</v>
      </c>
      <c r="AO7" s="44">
        <f>IF(Sheet1!AR81=MAX(Sheet1!AR$79:AR$88),0,1)</f>
        <v>1</v>
      </c>
      <c r="AP7" s="44">
        <f>IF(Sheet1!AS81=MAX(Sheet1!AS$79:AS$88),0,1)</f>
        <v>1</v>
      </c>
      <c r="AQ7" s="44">
        <f>IF(Sheet1!AT81=MAX(Sheet1!AT$79:AT$88),0,1)</f>
        <v>1</v>
      </c>
      <c r="AR7" s="44">
        <f>IF(Sheet1!AU81=MAX(Sheet1!AU$79:AU$88),0,1)</f>
        <v>1</v>
      </c>
      <c r="AS7" s="44">
        <f>IF(Sheet1!AV81=MAX(Sheet1!AV$79:AV$88),0,1)</f>
        <v>1</v>
      </c>
      <c r="AT7" s="44">
        <f>IF(Sheet1!AW81=MAX(Sheet1!AW$79:AW$88),0,1)</f>
        <v>1</v>
      </c>
      <c r="AU7" s="44">
        <f>IF(Sheet1!AX81=MAX(Sheet1!AX$79:AX$88),0,1)</f>
        <v>1</v>
      </c>
      <c r="AV7" s="44">
        <f>IF(Sheet1!AY81=MAX(Sheet1!AY$79:AY$88),0,1)</f>
        <v>1</v>
      </c>
      <c r="AW7" s="44">
        <f>IF(Sheet1!AZ81=MAX(Sheet1!AZ$79:AZ$88),0,1)</f>
        <v>1</v>
      </c>
      <c r="AX7" s="44">
        <f>IF(Sheet1!BA81=MAX(Sheet1!BA$79:BA$88),0,1)</f>
        <v>1</v>
      </c>
      <c r="AY7" s="44">
        <f>IF(Sheet1!BB81=MAX(Sheet1!BB$79:BB$88),0,1)</f>
        <v>1</v>
      </c>
      <c r="AZ7" s="44">
        <f>IF(Sheet1!BC81=MAX(Sheet1!BC$79:BC$88),0,1)</f>
        <v>1</v>
      </c>
      <c r="BA7" s="44">
        <f>IF(Sheet1!BD81=MAX(Sheet1!BD$79:BD$88),0,1)</f>
        <v>1</v>
      </c>
      <c r="BC7" s="13" t="s">
        <v>120</v>
      </c>
      <c r="BD7" s="22">
        <f>SUMPRODUCT(Sheet1!BQ79:BQ88,Sheet5!AD5:AD14)</f>
        <v>3312.3231653412695</v>
      </c>
      <c r="BE7" s="22">
        <f>SUMPRODUCT(Sheet1!BR79:BR88,Sheet5!AE5:AE14)</f>
        <v>2471.8315460799131</v>
      </c>
      <c r="BF7" s="22">
        <f>SUMPRODUCT(Sheet1!BS79:BS88,Sheet5!AF5:AF14)</f>
        <v>2435.7982143728336</v>
      </c>
      <c r="BG7" s="22">
        <f>SUMPRODUCT(Sheet1!BT79:BT88,Sheet5!AG5:AG14)</f>
        <v>2473.3579821082758</v>
      </c>
      <c r="BH7" s="22">
        <f>SUMPRODUCT(Sheet1!BU79:BU88,Sheet5!AH5:AH14)</f>
        <v>2593.3579821082758</v>
      </c>
      <c r="BI7" s="22">
        <f>SUMPRODUCT(Sheet1!BV79:BV88,Sheet5!AI5:AI14)</f>
        <v>1979.7030374113278</v>
      </c>
      <c r="BJ7" s="22">
        <f>SUMPRODUCT(Sheet1!BW79:BW88,Sheet5!AJ5:AJ14)</f>
        <v>2611.9395892081766</v>
      </c>
      <c r="BK7" s="22">
        <f>SUMPRODUCT(Sheet1!BX79:BX88,Sheet5!AK5:AK14)</f>
        <v>2660.3080626433139</v>
      </c>
      <c r="BL7" s="22">
        <f>SUMPRODUCT(Sheet1!BY79:BY88,Sheet5!AL5:AL14)</f>
        <v>2233.5459394057671</v>
      </c>
      <c r="BM7" s="22">
        <f>SUMPRODUCT(Sheet1!BZ79:BZ88,Sheet5!AM5:AM14)</f>
        <v>1824.9401470371267</v>
      </c>
      <c r="BN7" s="22">
        <f>SUMPRODUCT(Sheet1!CA79:CA88,Sheet5!AN5:AN14)</f>
        <v>1666.2189203083376</v>
      </c>
      <c r="BO7" s="22">
        <f>SUMPRODUCT(Sheet1!CB79:CB88,Sheet5!AO5:AO14)</f>
        <v>1615.0877264750936</v>
      </c>
      <c r="BP7" s="22">
        <f>SUMPRODUCT(Sheet1!CC79:CC88,Sheet5!AP5:AP14)</f>
        <v>1865.6188910357614</v>
      </c>
      <c r="BQ7" s="22">
        <f>SUMPRODUCT(Sheet1!CD79:CD88,Sheet5!AQ5:AQ14)</f>
        <v>1691.3922276216035</v>
      </c>
      <c r="BR7" s="22">
        <f>SUMPRODUCT(Sheet1!CE79:CE88,Sheet5!AR5:AR14)</f>
        <v>1609.4825088097709</v>
      </c>
      <c r="BS7" s="22">
        <f>SUMPRODUCT(Sheet1!CF79:CF88,Sheet5!AS5:AS14)</f>
        <v>1646.6891081114304</v>
      </c>
      <c r="BT7" s="22">
        <f>SUMPRODUCT(Sheet1!CG79:CG88,Sheet5!AT5:AT14)</f>
        <v>1677.7592793560029</v>
      </c>
      <c r="BU7" s="22">
        <f>SUMPRODUCT(Sheet1!CH79:CH88,Sheet5!AU5:AU14)</f>
        <v>1746.6466355837438</v>
      </c>
      <c r="BV7" s="22">
        <f>SUMPRODUCT(Sheet1!CI79:CI88,Sheet5!AV5:AV14)</f>
        <v>1694.9311806391179</v>
      </c>
      <c r="BW7" s="22">
        <f>SUMPRODUCT(Sheet1!CJ79:CJ88,Sheet5!AW5:AW14)</f>
        <v>1539.6120599999995</v>
      </c>
      <c r="BX7" s="22">
        <f>SUMPRODUCT(Sheet1!CK79:CK88,Sheet5!AX5:AX14)</f>
        <v>1630.2261136157285</v>
      </c>
      <c r="BY7" s="22">
        <f>SUMPRODUCT(Sheet1!CL79:CL88,Sheet5!AY5:AY14)</f>
        <v>1727.3116330718572</v>
      </c>
      <c r="BZ7" s="22">
        <f>SUMPRODUCT(Sheet1!CM79:CM88,Sheet5!AZ5:AZ14)</f>
        <v>1192.6418010518605</v>
      </c>
      <c r="CA7" s="22">
        <f>SUMPRODUCT(Sheet1!CN79:CN88,Sheet5!BA5:BA14)</f>
        <v>1356.6447780728886</v>
      </c>
    </row>
    <row r="8" spans="1:79" x14ac:dyDescent="0.35">
      <c r="A8" s="13" t="s">
        <v>37</v>
      </c>
      <c r="B8" s="13" t="s">
        <v>64</v>
      </c>
      <c r="C8" s="15">
        <f>Sheet1!BQ82-Sheet1!CR82</f>
        <v>0</v>
      </c>
      <c r="D8" s="15">
        <f>Sheet1!BR82-Sheet1!CS82</f>
        <v>0</v>
      </c>
      <c r="E8" s="15">
        <f>Sheet1!BS82-Sheet1!CT82</f>
        <v>0</v>
      </c>
      <c r="F8" s="15">
        <f>Sheet1!BT82-Sheet1!CU82</f>
        <v>0</v>
      </c>
      <c r="G8" s="15">
        <f>Sheet1!BU82-Sheet1!CV82</f>
        <v>0</v>
      </c>
      <c r="H8" s="15">
        <f>Sheet1!BV82-Sheet1!CW82</f>
        <v>0</v>
      </c>
      <c r="I8" s="15">
        <f>Sheet1!BW82-Sheet1!CX82</f>
        <v>0</v>
      </c>
      <c r="J8" s="15">
        <f>Sheet1!BX82-Sheet1!CY82</f>
        <v>0</v>
      </c>
      <c r="K8" s="15">
        <f>Sheet1!BY82-Sheet1!CZ82</f>
        <v>0</v>
      </c>
      <c r="L8" s="15">
        <f>Sheet1!BZ82-Sheet1!DA82</f>
        <v>0</v>
      </c>
      <c r="M8" s="15">
        <f>Sheet1!CA82-Sheet1!DB82</f>
        <v>0</v>
      </c>
      <c r="N8" s="15">
        <f>Sheet1!CB82-Sheet1!DC82</f>
        <v>0</v>
      </c>
      <c r="O8" s="15">
        <f>Sheet1!CC82-Sheet1!DD82</f>
        <v>0</v>
      </c>
      <c r="P8" s="15">
        <f>Sheet1!CD82-Sheet1!DE82</f>
        <v>0</v>
      </c>
      <c r="Q8" s="15">
        <f>Sheet1!CE82-Sheet1!DF82</f>
        <v>0</v>
      </c>
      <c r="R8" s="15">
        <f>Sheet1!CF82-Sheet1!DG82</f>
        <v>0</v>
      </c>
      <c r="S8" s="15">
        <f>Sheet1!CG82-Sheet1!DH82</f>
        <v>0</v>
      </c>
      <c r="T8" s="15">
        <f>Sheet1!CH82-Sheet1!DI82</f>
        <v>0</v>
      </c>
      <c r="U8" s="15">
        <f>Sheet1!CI82-Sheet1!DJ82</f>
        <v>0</v>
      </c>
      <c r="V8" s="15">
        <f>Sheet1!CJ82-Sheet1!DK82</f>
        <v>0</v>
      </c>
      <c r="W8" s="15">
        <f>Sheet1!CK82-Sheet1!DL82</f>
        <v>0</v>
      </c>
      <c r="X8" s="15">
        <f>Sheet1!CL82-Sheet1!DM82</f>
        <v>0</v>
      </c>
      <c r="Y8" s="15">
        <f>Sheet1!CM82-Sheet1!DN82</f>
        <v>0</v>
      </c>
      <c r="Z8" s="15">
        <f>Sheet1!CN82-Sheet1!DO82</f>
        <v>0</v>
      </c>
      <c r="AB8" s="13" t="s">
        <v>37</v>
      </c>
      <c r="AC8" s="13" t="s">
        <v>64</v>
      </c>
      <c r="AD8" s="44">
        <f>IF(Sheet1!AG82=MAX(Sheet1!AG$79:AG$88),0,1)</f>
        <v>1</v>
      </c>
      <c r="AE8" s="44">
        <f>IF(Sheet1!AH82=MAX(Sheet1!AH$79:AH$88),0,1)</f>
        <v>1</v>
      </c>
      <c r="AF8" s="44">
        <f>IF(Sheet1!AI82=MAX(Sheet1!AI$79:AI$88),0,1)</f>
        <v>1</v>
      </c>
      <c r="AG8" s="44">
        <f>IF(Sheet1!AJ82=MAX(Sheet1!AJ$79:AJ$88),0,1)</f>
        <v>1</v>
      </c>
      <c r="AH8" s="44">
        <f>IF(Sheet1!AK82=MAX(Sheet1!AK$79:AK$88),0,1)</f>
        <v>1</v>
      </c>
      <c r="AI8" s="44">
        <f>IF(Sheet1!AL82=MAX(Sheet1!AL$79:AL$88),0,1)</f>
        <v>1</v>
      </c>
      <c r="AJ8" s="44">
        <f>IF(Sheet1!AM82=MAX(Sheet1!AM$79:AM$88),0,1)</f>
        <v>1</v>
      </c>
      <c r="AK8" s="44">
        <f>IF(Sheet1!AN82=MAX(Sheet1!AN$79:AN$88),0,1)</f>
        <v>1</v>
      </c>
      <c r="AL8" s="44">
        <f>IF(Sheet1!AO82=MAX(Sheet1!AO$79:AO$88),0,1)</f>
        <v>1</v>
      </c>
      <c r="AM8" s="44">
        <f>IF(Sheet1!AP82=MAX(Sheet1!AP$79:AP$88),0,1)</f>
        <v>1</v>
      </c>
      <c r="AN8" s="44">
        <f>IF(Sheet1!AQ82=MAX(Sheet1!AQ$79:AQ$88),0,1)</f>
        <v>1</v>
      </c>
      <c r="AO8" s="44">
        <f>IF(Sheet1!AR82=MAX(Sheet1!AR$79:AR$88),0,1)</f>
        <v>1</v>
      </c>
      <c r="AP8" s="44">
        <f>IF(Sheet1!AS82=MAX(Sheet1!AS$79:AS$88),0,1)</f>
        <v>1</v>
      </c>
      <c r="AQ8" s="44">
        <f>IF(Sheet1!AT82=MAX(Sheet1!AT$79:AT$88),0,1)</f>
        <v>1</v>
      </c>
      <c r="AR8" s="44">
        <f>IF(Sheet1!AU82=MAX(Sheet1!AU$79:AU$88),0,1)</f>
        <v>1</v>
      </c>
      <c r="AS8" s="44">
        <f>IF(Sheet1!AV82=MAX(Sheet1!AV$79:AV$88),0,1)</f>
        <v>1</v>
      </c>
      <c r="AT8" s="44">
        <f>IF(Sheet1!AW82=MAX(Sheet1!AW$79:AW$88),0,1)</f>
        <v>1</v>
      </c>
      <c r="AU8" s="44">
        <f>IF(Sheet1!AX82=MAX(Sheet1!AX$79:AX$88),0,1)</f>
        <v>1</v>
      </c>
      <c r="AV8" s="44">
        <f>IF(Sheet1!AY82=MAX(Sheet1!AY$79:AY$88),0,1)</f>
        <v>1</v>
      </c>
      <c r="AW8" s="44">
        <f>IF(Sheet1!AZ82=MAX(Sheet1!AZ$79:AZ$88),0,1)</f>
        <v>1</v>
      </c>
      <c r="AX8" s="44">
        <f>IF(Sheet1!BA82=MAX(Sheet1!BA$79:BA$88),0,1)</f>
        <v>1</v>
      </c>
      <c r="AY8" s="44">
        <f>IF(Sheet1!BB82=MAX(Sheet1!BB$79:BB$88),0,1)</f>
        <v>1</v>
      </c>
      <c r="AZ8" s="44">
        <f>IF(Sheet1!BC82=MAX(Sheet1!BC$79:BC$88),0,1)</f>
        <v>1</v>
      </c>
      <c r="BA8" s="44">
        <f>IF(Sheet1!BD82=MAX(Sheet1!BD$79:BD$88),0,1)</f>
        <v>1</v>
      </c>
      <c r="BC8" s="13" t="s">
        <v>121</v>
      </c>
      <c r="BD8" s="22">
        <f>SUM(Sheet1!CR79:CR88)</f>
        <v>1176</v>
      </c>
      <c r="BE8" s="22">
        <f>SUM(Sheet1!CS79:CS88)</f>
        <v>969</v>
      </c>
      <c r="BF8" s="22">
        <f>SUM(Sheet1!CT79:CT88)</f>
        <v>969</v>
      </c>
      <c r="BG8" s="22">
        <f>SUM(Sheet1!CU79:CU88)</f>
        <v>969</v>
      </c>
      <c r="BH8" s="22">
        <f>SUM(Sheet1!CV79:CV88)</f>
        <v>969</v>
      </c>
      <c r="BI8" s="22">
        <f>SUM(Sheet1!CW79:CW88)</f>
        <v>969</v>
      </c>
      <c r="BJ8" s="22">
        <f>SUM(Sheet1!CX79:CX88)</f>
        <v>969</v>
      </c>
      <c r="BK8" s="22">
        <f>SUM(Sheet1!CY79:CY88)</f>
        <v>969</v>
      </c>
      <c r="BL8" s="22">
        <f>SUM(Sheet1!CZ79:CZ88)</f>
        <v>969</v>
      </c>
      <c r="BM8" s="22">
        <f>SUM(Sheet1!DA79:DA88)</f>
        <v>969</v>
      </c>
      <c r="BN8" s="22">
        <f>SUM(Sheet1!DB79:DB88)</f>
        <v>969</v>
      </c>
      <c r="BO8" s="22">
        <f>SUM(Sheet1!DC79:DC88)</f>
        <v>969</v>
      </c>
      <c r="BP8" s="22">
        <f>SUM(Sheet1!DD79:DD88)</f>
        <v>969</v>
      </c>
      <c r="BQ8" s="22">
        <f>SUM(Sheet1!DE79:DE88)</f>
        <v>969</v>
      </c>
      <c r="BR8" s="22">
        <f>SUM(Sheet1!DF79:DF88)</f>
        <v>1038.7060395918365</v>
      </c>
      <c r="BS8" s="22">
        <f>SUM(Sheet1!DG79:DG88)</f>
        <v>1031.0747718885693</v>
      </c>
      <c r="BT8" s="22">
        <f>SUM(Sheet1!DH79:DH88)</f>
        <v>1000.0046006439969</v>
      </c>
      <c r="BU8" s="22">
        <f>SUM(Sheet1!DI79:DI88)</f>
        <v>969</v>
      </c>
      <c r="BV8" s="22">
        <f>SUM(Sheet1!DJ79:DJ88)</f>
        <v>969</v>
      </c>
      <c r="BW8" s="22">
        <f>SUM(Sheet1!DK79:DK88)</f>
        <v>969</v>
      </c>
      <c r="BX8" s="22">
        <f>SUM(Sheet1!DL79:DL88)</f>
        <v>1032.7071786711031</v>
      </c>
      <c r="BY8" s="22">
        <f>SUM(Sheet1!DM79:DM88)</f>
        <v>1023.4070963318469</v>
      </c>
      <c r="BZ8" s="22">
        <f>SUM(Sheet1!DN79:DN88)</f>
        <v>1012.2594789481393</v>
      </c>
      <c r="CA8" s="22">
        <f>SUM(Sheet1!DO79:DO88)</f>
        <v>969.00000000000011</v>
      </c>
    </row>
    <row r="9" spans="1:79" x14ac:dyDescent="0.35">
      <c r="A9" s="13" t="s">
        <v>38</v>
      </c>
      <c r="B9" s="13" t="s">
        <v>65</v>
      </c>
      <c r="C9" s="15">
        <f>Sheet1!BQ83-Sheet1!CR83</f>
        <v>0</v>
      </c>
      <c r="D9" s="15">
        <f>Sheet1!BR83-Sheet1!CS83</f>
        <v>0</v>
      </c>
      <c r="E9" s="15">
        <f>Sheet1!BS83-Sheet1!CT83</f>
        <v>0</v>
      </c>
      <c r="F9" s="15">
        <f>Sheet1!BT83-Sheet1!CU83</f>
        <v>0</v>
      </c>
      <c r="G9" s="15">
        <f>Sheet1!BU83-Sheet1!CV83</f>
        <v>0</v>
      </c>
      <c r="H9" s="15">
        <f>Sheet1!BV83-Sheet1!CW83</f>
        <v>0</v>
      </c>
      <c r="I9" s="15">
        <f>Sheet1!BW83-Sheet1!CX83</f>
        <v>0</v>
      </c>
      <c r="J9" s="15">
        <f>Sheet1!BX83-Sheet1!CY83</f>
        <v>0</v>
      </c>
      <c r="K9" s="15">
        <f>Sheet1!BY83-Sheet1!CZ83</f>
        <v>0</v>
      </c>
      <c r="L9" s="15">
        <f>Sheet1!BZ83-Sheet1!DA83</f>
        <v>0</v>
      </c>
      <c r="M9" s="15">
        <f>Sheet1!CA83-Sheet1!DB83</f>
        <v>0</v>
      </c>
      <c r="N9" s="15">
        <f>Sheet1!CB83-Sheet1!DC83</f>
        <v>0</v>
      </c>
      <c r="O9" s="15">
        <f>Sheet1!CC83-Sheet1!DD83</f>
        <v>0</v>
      </c>
      <c r="P9" s="15">
        <f>Sheet1!CD83-Sheet1!DE83</f>
        <v>0</v>
      </c>
      <c r="Q9" s="15">
        <f>Sheet1!CE83-Sheet1!DF83</f>
        <v>0</v>
      </c>
      <c r="R9" s="15">
        <f>Sheet1!CF83-Sheet1!DG83</f>
        <v>0</v>
      </c>
      <c r="S9" s="15">
        <f>Sheet1!CG83-Sheet1!DH83</f>
        <v>0</v>
      </c>
      <c r="T9" s="15">
        <f>Sheet1!CH83-Sheet1!DI83</f>
        <v>0</v>
      </c>
      <c r="U9" s="15">
        <f>Sheet1!CI83-Sheet1!DJ83</f>
        <v>0</v>
      </c>
      <c r="V9" s="15">
        <f>Sheet1!CJ83-Sheet1!DK83</f>
        <v>0</v>
      </c>
      <c r="W9" s="15">
        <f>Sheet1!CK83-Sheet1!DL83</f>
        <v>0</v>
      </c>
      <c r="X9" s="15">
        <f>Sheet1!CL83-Sheet1!DM83</f>
        <v>0</v>
      </c>
      <c r="Y9" s="15">
        <f>Sheet1!CM83-Sheet1!DN83</f>
        <v>0</v>
      </c>
      <c r="Z9" s="15">
        <f>Sheet1!CN83-Sheet1!DO83</f>
        <v>0</v>
      </c>
      <c r="AB9" s="13" t="s">
        <v>38</v>
      </c>
      <c r="AC9" s="13" t="s">
        <v>65</v>
      </c>
      <c r="AD9" s="44">
        <f>IF(Sheet1!AG83=MAX(Sheet1!AG$79:AG$88),0,1)</f>
        <v>1</v>
      </c>
      <c r="AE9" s="44">
        <f>IF(Sheet1!AH83=MAX(Sheet1!AH$79:AH$88),0,1)</f>
        <v>1</v>
      </c>
      <c r="AF9" s="44">
        <f>IF(Sheet1!AI83=MAX(Sheet1!AI$79:AI$88),0,1)</f>
        <v>1</v>
      </c>
      <c r="AG9" s="44">
        <f>IF(Sheet1!AJ83=MAX(Sheet1!AJ$79:AJ$88),0,1)</f>
        <v>1</v>
      </c>
      <c r="AH9" s="44">
        <f>IF(Sheet1!AK83=MAX(Sheet1!AK$79:AK$88),0,1)</f>
        <v>1</v>
      </c>
      <c r="AI9" s="44">
        <f>IF(Sheet1!AL83=MAX(Sheet1!AL$79:AL$88),0,1)</f>
        <v>1</v>
      </c>
      <c r="AJ9" s="44">
        <f>IF(Sheet1!AM83=MAX(Sheet1!AM$79:AM$88),0,1)</f>
        <v>1</v>
      </c>
      <c r="AK9" s="44">
        <f>IF(Sheet1!AN83=MAX(Sheet1!AN$79:AN$88),0,1)</f>
        <v>1</v>
      </c>
      <c r="AL9" s="44">
        <f>IF(Sheet1!AO83=MAX(Sheet1!AO$79:AO$88),0,1)</f>
        <v>1</v>
      </c>
      <c r="AM9" s="44">
        <f>IF(Sheet1!AP83=MAX(Sheet1!AP$79:AP$88),0,1)</f>
        <v>1</v>
      </c>
      <c r="AN9" s="44">
        <f>IF(Sheet1!AQ83=MAX(Sheet1!AQ$79:AQ$88),0,1)</f>
        <v>1</v>
      </c>
      <c r="AO9" s="44">
        <f>IF(Sheet1!AR83=MAX(Sheet1!AR$79:AR$88),0,1)</f>
        <v>1</v>
      </c>
      <c r="AP9" s="44">
        <f>IF(Sheet1!AS83=MAX(Sheet1!AS$79:AS$88),0,1)</f>
        <v>1</v>
      </c>
      <c r="AQ9" s="44">
        <f>IF(Sheet1!AT83=MAX(Sheet1!AT$79:AT$88),0,1)</f>
        <v>1</v>
      </c>
      <c r="AR9" s="44">
        <f>IF(Sheet1!AU83=MAX(Sheet1!AU$79:AU$88),0,1)</f>
        <v>1</v>
      </c>
      <c r="AS9" s="44">
        <f>IF(Sheet1!AV83=MAX(Sheet1!AV$79:AV$88),0,1)</f>
        <v>1</v>
      </c>
      <c r="AT9" s="44">
        <f>IF(Sheet1!AW83=MAX(Sheet1!AW$79:AW$88),0,1)</f>
        <v>1</v>
      </c>
      <c r="AU9" s="44">
        <f>IF(Sheet1!AX83=MAX(Sheet1!AX$79:AX$88),0,1)</f>
        <v>1</v>
      </c>
      <c r="AV9" s="44">
        <f>IF(Sheet1!AY83=MAX(Sheet1!AY$79:AY$88),0,1)</f>
        <v>1</v>
      </c>
      <c r="AW9" s="44">
        <f>IF(Sheet1!AZ83=MAX(Sheet1!AZ$79:AZ$88),0,1)</f>
        <v>1</v>
      </c>
      <c r="AX9" s="44">
        <f>IF(Sheet1!BA83=MAX(Sheet1!BA$79:BA$88),0,1)</f>
        <v>1</v>
      </c>
      <c r="AY9" s="44">
        <f>IF(Sheet1!BB83=MAX(Sheet1!BB$79:BB$88),0,1)</f>
        <v>1</v>
      </c>
      <c r="AZ9" s="44">
        <f>IF(Sheet1!BC83=MAX(Sheet1!BC$79:BC$88),0,1)</f>
        <v>1</v>
      </c>
      <c r="BA9" s="44">
        <f>IF(Sheet1!BD83=MAX(Sheet1!BD$79:BD$88),0,1)</f>
        <v>1</v>
      </c>
      <c r="BC9" s="13" t="s">
        <v>122</v>
      </c>
      <c r="BD9" s="22">
        <f>SUMPRODUCT(Sheet1!CR79:CR88,Sheet5!AD5:AD14)</f>
        <v>1056</v>
      </c>
      <c r="BE9" s="22">
        <f>SUMPRODUCT(Sheet1!CS79:CS88,Sheet5!AE5:AE14)</f>
        <v>936</v>
      </c>
      <c r="BF9" s="22">
        <f>SUMPRODUCT(Sheet1!CT79:CT88,Sheet5!AF5:AF14)</f>
        <v>815.99999999999875</v>
      </c>
      <c r="BG9" s="22">
        <f>SUMPRODUCT(Sheet1!CU79:CU88,Sheet5!AG5:AG14)</f>
        <v>773.74135333333334</v>
      </c>
      <c r="BH9" s="22">
        <f>SUMPRODUCT(Sheet1!CV79:CV88,Sheet5!AH5:AH14)</f>
        <v>893.74135333333334</v>
      </c>
      <c r="BI9" s="46">
        <f>SUMPRODUCT(Sheet1!CW79:CW88,Sheet5!AI5:AI14)</f>
        <v>482.22406000000001</v>
      </c>
      <c r="BJ9" s="22">
        <f>SUMPRODUCT(Sheet1!CX79:CX88,Sheet5!AJ5:AJ14)</f>
        <v>969</v>
      </c>
      <c r="BK9" s="22">
        <f>SUMPRODUCT(Sheet1!CY79:CY88,Sheet5!AK5:AK14)</f>
        <v>969</v>
      </c>
      <c r="BL9" s="22">
        <f>SUMPRODUCT(Sheet1!CZ79:CZ88,Sheet5!AL5:AL14)</f>
        <v>849</v>
      </c>
      <c r="BM9" s="22">
        <f>SUMPRODUCT(Sheet1!DA79:DA88,Sheet5!AM5:AM14)</f>
        <v>882.01206000000002</v>
      </c>
      <c r="BN9" s="22">
        <f>SUMPRODUCT(Sheet1!DB79:DB88,Sheet5!AN5:AN14)</f>
        <v>887.20348000000001</v>
      </c>
      <c r="BO9" s="22">
        <f>SUMPRODUCT(Sheet1!DC79:DC88,Sheet5!AO5:AO14)</f>
        <v>887.20348000000001</v>
      </c>
      <c r="BP9" s="22">
        <f>SUMPRODUCT(Sheet1!DD79:DD88,Sheet5!AP5:AP14)</f>
        <v>887.20348000000001</v>
      </c>
      <c r="BQ9" s="22">
        <f>SUMPRODUCT(Sheet1!DE79:DE88,Sheet5!AQ5:AQ14)</f>
        <v>887.20348000000001</v>
      </c>
      <c r="BR9" s="22">
        <f>SUMPRODUCT(Sheet1!DF79:DF88,Sheet5!AR5:AR14)</f>
        <v>956.90951959183667</v>
      </c>
      <c r="BS9" s="22">
        <f>SUMPRODUCT(Sheet1!DG79:DG88,Sheet5!AS5:AS14)</f>
        <v>949.27825188856934</v>
      </c>
      <c r="BT9" s="22">
        <f>SUMPRODUCT(Sheet1!DH79:DH88,Sheet5!AT5:AT14)</f>
        <v>918.20808064399682</v>
      </c>
      <c r="BU9" s="22">
        <f>SUMPRODUCT(Sheet1!DI79:DI88,Sheet5!AU5:AU14)</f>
        <v>887.20348000000001</v>
      </c>
      <c r="BV9" s="22">
        <f>SUMPRODUCT(Sheet1!DJ79:DJ88,Sheet5!AV5:AV14)</f>
        <v>887.20348000000001</v>
      </c>
      <c r="BW9" s="22">
        <f>SUMPRODUCT(Sheet1!DK79:DK88,Sheet5!AW5:AW14)</f>
        <v>882.01206000000002</v>
      </c>
      <c r="BX9" s="22">
        <f>SUMPRODUCT(Sheet1!DL79:DL88,Sheet5!AX5:AX14)</f>
        <v>950.91065867110296</v>
      </c>
      <c r="BY9" s="22">
        <f>SUMPRODUCT(Sheet1!DM79:DM88,Sheet5!AY5:AY14)</f>
        <v>941.61057633184691</v>
      </c>
      <c r="BZ9" s="22">
        <f>SUMPRODUCT(Sheet1!DN79:DN88,Sheet5!AZ5:AZ14)</f>
        <v>946.16075894813923</v>
      </c>
      <c r="CA9" s="22">
        <f>SUMPRODUCT(Sheet1!DO79:DO88,Sheet5!BA5:BA14)</f>
        <v>902.90128000000004</v>
      </c>
    </row>
    <row r="10" spans="1:79" x14ac:dyDescent="0.35">
      <c r="A10" s="13" t="s">
        <v>39</v>
      </c>
      <c r="B10" s="13" t="s">
        <v>66</v>
      </c>
      <c r="C10" s="15">
        <f>Sheet1!BQ84-Sheet1!CR84</f>
        <v>742.08052999999995</v>
      </c>
      <c r="D10" s="15">
        <f>Sheet1!BR84-Sheet1!CS84</f>
        <v>756.82487832481127</v>
      </c>
      <c r="E10" s="15">
        <f>Sheet1!BS84-Sheet1!CT84</f>
        <v>458.01206000000002</v>
      </c>
      <c r="F10" s="15">
        <f>Sheet1!BT84-Sheet1!CU84</f>
        <v>758.01206000000002</v>
      </c>
      <c r="G10" s="15">
        <f>Sheet1!BU84-Sheet1!CV84</f>
        <v>758.01206000000002</v>
      </c>
      <c r="H10" s="15">
        <f>Sheet1!BV84-Sheet1!CW84</f>
        <v>605.71509741132786</v>
      </c>
      <c r="I10" s="15">
        <f>Sheet1!BW84-Sheet1!CX84</f>
        <v>426</v>
      </c>
      <c r="J10" s="15">
        <f>Sheet1!BX84-Sheet1!CY84</f>
        <v>726</v>
      </c>
      <c r="K10" s="15">
        <f>Sheet1!BY84-Sheet1!CZ84</f>
        <v>426</v>
      </c>
      <c r="L10" s="15">
        <f>Sheet1!BZ84-Sheet1!DA84</f>
        <v>125.99999999999999</v>
      </c>
      <c r="M10" s="15">
        <f>Sheet1!CA84-Sheet1!DB84</f>
        <v>125.99999999999999</v>
      </c>
      <c r="N10" s="15">
        <f>Sheet1!CB84-Sheet1!DC84</f>
        <v>125.99999999999999</v>
      </c>
      <c r="O10" s="15">
        <f>Sheet1!CC84-Sheet1!DD84</f>
        <v>426</v>
      </c>
      <c r="P10" s="15">
        <f>Sheet1!CD84-Sheet1!DE84</f>
        <v>125.99999999999999</v>
      </c>
      <c r="Q10" s="15">
        <f>Sheet1!CE84-Sheet1!DF84</f>
        <v>56.293960408163215</v>
      </c>
      <c r="R10" s="15">
        <f>Sheet1!CF84-Sheet1!DG84</f>
        <v>63.925228111430542</v>
      </c>
      <c r="S10" s="15">
        <f>Sheet1!CG84-Sheet1!DH84</f>
        <v>94.995399356003176</v>
      </c>
      <c r="T10" s="15">
        <f>Sheet1!CH84-Sheet1!DI84</f>
        <v>394.99539935600319</v>
      </c>
      <c r="U10" s="15">
        <f>Sheet1!CI84-Sheet1!DJ84</f>
        <v>426</v>
      </c>
      <c r="V10" s="15">
        <f>Sheet1!CJ84-Sheet1!DK84</f>
        <v>125.99999999999999</v>
      </c>
      <c r="W10" s="15">
        <f>Sheet1!CK84-Sheet1!DL84</f>
        <v>62.292821328897148</v>
      </c>
      <c r="X10" s="15">
        <f>Sheet1!CL84-Sheet1!DM84</f>
        <v>196.54775307185719</v>
      </c>
      <c r="Y10" s="15">
        <f>Sheet1!CM84-Sheet1!DN84</f>
        <v>82.740521051860739</v>
      </c>
      <c r="Z10" s="15">
        <f>Sheet1!CN84-Sheet1!DO84</f>
        <v>246.7434980728886</v>
      </c>
      <c r="AB10" s="13" t="s">
        <v>39</v>
      </c>
      <c r="AC10" s="13" t="s">
        <v>66</v>
      </c>
      <c r="AD10" s="44">
        <f>IF(Sheet1!AG84=MAX(Sheet1!AG$79:AG$88),0,1)</f>
        <v>1</v>
      </c>
      <c r="AE10" s="44">
        <f>IF(Sheet1!AH84=MAX(Sheet1!AH$79:AH$88),0,1)</f>
        <v>1</v>
      </c>
      <c r="AF10" s="44">
        <f>IF(Sheet1!AI84=MAX(Sheet1!AI$79:AI$88),0,1)</f>
        <v>1</v>
      </c>
      <c r="AG10" s="44">
        <f>IF(Sheet1!AJ84=MAX(Sheet1!AJ$79:AJ$88),0,1)</f>
        <v>1</v>
      </c>
      <c r="AH10" s="44">
        <f>IF(Sheet1!AK84=MAX(Sheet1!AK$79:AK$88),0,1)</f>
        <v>1</v>
      </c>
      <c r="AI10" s="44">
        <f>IF(Sheet1!AL84=MAX(Sheet1!AL$79:AL$88),0,1)</f>
        <v>1</v>
      </c>
      <c r="AJ10" s="44">
        <f>IF(Sheet1!AM84=MAX(Sheet1!AM$79:AM$88),0,1)</f>
        <v>1</v>
      </c>
      <c r="AK10" s="44">
        <f>IF(Sheet1!AN84=MAX(Sheet1!AN$79:AN$88),0,1)</f>
        <v>1</v>
      </c>
      <c r="AL10" s="44">
        <f>IF(Sheet1!AO84=MAX(Sheet1!AO$79:AO$88),0,1)</f>
        <v>1</v>
      </c>
      <c r="AM10" s="44">
        <f>IF(Sheet1!AP84=MAX(Sheet1!AP$79:AP$88),0,1)</f>
        <v>0</v>
      </c>
      <c r="AN10" s="44">
        <f>IF(Sheet1!AQ84=MAX(Sheet1!AQ$79:AQ$88),0,1)</f>
        <v>1</v>
      </c>
      <c r="AO10" s="44">
        <f>IF(Sheet1!AR84=MAX(Sheet1!AR$79:AR$88),0,1)</f>
        <v>1</v>
      </c>
      <c r="AP10" s="44">
        <f>IF(Sheet1!AS84=MAX(Sheet1!AS$79:AS$88),0,1)</f>
        <v>1</v>
      </c>
      <c r="AQ10" s="44">
        <f>IF(Sheet1!AT84=MAX(Sheet1!AT$79:AT$88),0,1)</f>
        <v>1</v>
      </c>
      <c r="AR10" s="44">
        <f>IF(Sheet1!AU84=MAX(Sheet1!AU$79:AU$88),0,1)</f>
        <v>1</v>
      </c>
      <c r="AS10" s="44">
        <f>IF(Sheet1!AV84=MAX(Sheet1!AV$79:AV$88),0,1)</f>
        <v>1</v>
      </c>
      <c r="AT10" s="44">
        <f>IF(Sheet1!AW84=MAX(Sheet1!AW$79:AW$88),0,1)</f>
        <v>1</v>
      </c>
      <c r="AU10" s="44">
        <f>IF(Sheet1!AX84=MAX(Sheet1!AX$79:AX$88),0,1)</f>
        <v>1</v>
      </c>
      <c r="AV10" s="44">
        <f>IF(Sheet1!AY84=MAX(Sheet1!AY$79:AY$88),0,1)</f>
        <v>1</v>
      </c>
      <c r="AW10" s="44">
        <f>IF(Sheet1!AZ84=MAX(Sheet1!AZ$79:AZ$88),0,1)</f>
        <v>0</v>
      </c>
      <c r="AX10" s="44">
        <f>IF(Sheet1!BA84=MAX(Sheet1!BA$79:BA$88),0,1)</f>
        <v>1</v>
      </c>
      <c r="AY10" s="44">
        <f>IF(Sheet1!BB84=MAX(Sheet1!BB$79:BB$88),0,1)</f>
        <v>1</v>
      </c>
      <c r="AZ10" s="44">
        <f>IF(Sheet1!BC84=MAX(Sheet1!BC$79:BC$88),0,1)</f>
        <v>1</v>
      </c>
      <c r="BA10" s="44">
        <f>IF(Sheet1!BD84=MAX(Sheet1!BD$79:BD$88),0,1)</f>
        <v>1</v>
      </c>
      <c r="BC10" s="21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</row>
    <row r="11" spans="1:79" x14ac:dyDescent="0.35">
      <c r="A11" s="13" t="s">
        <v>40</v>
      </c>
      <c r="B11" s="13" t="s">
        <v>67</v>
      </c>
      <c r="C11" s="15">
        <f>Sheet1!BQ85-Sheet1!CR85</f>
        <v>485.3627353412694</v>
      </c>
      <c r="D11" s="15">
        <f>Sheet1!BR85-Sheet1!CS85</f>
        <v>188.56039999999999</v>
      </c>
      <c r="E11" s="15">
        <f>Sheet1!BS85-Sheet1!CT85</f>
        <v>458.58267437283496</v>
      </c>
      <c r="F11" s="15">
        <f>Sheet1!BT85-Sheet1!CU85</f>
        <v>238.40108877494256</v>
      </c>
      <c r="G11" s="15">
        <f>Sheet1!BU85-Sheet1!CV85</f>
        <v>488.56039999999996</v>
      </c>
      <c r="H11" s="15">
        <f>Sheet1!BV85-Sheet1!CW85</f>
        <v>188.56039999999999</v>
      </c>
      <c r="I11" s="15">
        <f>Sheet1!BW85-Sheet1!CX85</f>
        <v>453.51204920817656</v>
      </c>
      <c r="J11" s="15">
        <f>Sheet1!BX85-Sheet1!CY85</f>
        <v>153.51204920817659</v>
      </c>
      <c r="K11" s="15">
        <f>Sheet1!BY85-Sheet1!CZ85</f>
        <v>446.74992597062976</v>
      </c>
      <c r="L11" s="15">
        <f>Sheet1!BZ85-Sheet1!DA85</f>
        <v>488.56039999999996</v>
      </c>
      <c r="M11" s="15">
        <f>Sheet1!CA85-Sheet1!DB85</f>
        <v>446.01544030833747</v>
      </c>
      <c r="N11" s="15">
        <f>Sheet1!CB85-Sheet1!DC85</f>
        <v>394.88424647509362</v>
      </c>
      <c r="O11" s="15">
        <f>Sheet1!CC85-Sheet1!DD85</f>
        <v>345.41541103576151</v>
      </c>
      <c r="P11" s="15">
        <f>Sheet1!CD85-Sheet1!DE85</f>
        <v>471.1887476216034</v>
      </c>
      <c r="Q11" s="15">
        <f>Sheet1!CE85-Sheet1!DF85</f>
        <v>458.9850684016078</v>
      </c>
      <c r="R11" s="15">
        <f>Sheet1!CF85-Sheet1!DG85</f>
        <v>488.56039999999996</v>
      </c>
      <c r="S11" s="15">
        <f>Sheet1!CG85-Sheet1!DH85</f>
        <v>488.56039999999996</v>
      </c>
      <c r="T11" s="15">
        <f>Sheet1!CH85-Sheet1!DI85</f>
        <v>257.44775622774068</v>
      </c>
      <c r="U11" s="15">
        <f>Sheet1!CI85-Sheet1!DJ85</f>
        <v>174.72770063911778</v>
      </c>
      <c r="V11" s="15">
        <f>Sheet1!CJ85-Sheet1!DK85</f>
        <v>173.72981228683139</v>
      </c>
      <c r="W11" s="15">
        <f>Sheet1!CK85-Sheet1!DL85</f>
        <v>473.72981228683136</v>
      </c>
      <c r="X11" s="15">
        <f>Sheet1!CL85-Sheet1!DM85</f>
        <v>436.56039999999996</v>
      </c>
      <c r="Y11" s="15">
        <f>Sheet1!CM85-Sheet1!DN85</f>
        <v>0</v>
      </c>
      <c r="Z11" s="15">
        <f>Sheet1!CN85-Sheet1!DO85</f>
        <v>0</v>
      </c>
      <c r="AB11" s="13" t="s">
        <v>40</v>
      </c>
      <c r="AC11" s="13" t="s">
        <v>67</v>
      </c>
      <c r="AD11" s="44">
        <f>IF(Sheet1!AG85=MAX(Sheet1!AG$79:AG$88),0,1)</f>
        <v>1</v>
      </c>
      <c r="AE11" s="44">
        <f>IF(Sheet1!AH85=MAX(Sheet1!AH$79:AH$88),0,1)</f>
        <v>1</v>
      </c>
      <c r="AF11" s="44">
        <f>IF(Sheet1!AI85=MAX(Sheet1!AI$79:AI$88),0,1)</f>
        <v>1</v>
      </c>
      <c r="AG11" s="44">
        <f>IF(Sheet1!AJ85=MAX(Sheet1!AJ$79:AJ$88),0,1)</f>
        <v>1</v>
      </c>
      <c r="AH11" s="44">
        <f>IF(Sheet1!AK85=MAX(Sheet1!AK$79:AK$88),0,1)</f>
        <v>1</v>
      </c>
      <c r="AI11" s="44">
        <f>IF(Sheet1!AL85=MAX(Sheet1!AL$79:AL$88),0,1)</f>
        <v>1</v>
      </c>
      <c r="AJ11" s="44">
        <f>IF(Sheet1!AM85=MAX(Sheet1!AM$79:AM$88),0,1)</f>
        <v>1</v>
      </c>
      <c r="AK11" s="44">
        <f>IF(Sheet1!AN85=MAX(Sheet1!AN$79:AN$88),0,1)</f>
        <v>1</v>
      </c>
      <c r="AL11" s="44">
        <f>IF(Sheet1!AO85=MAX(Sheet1!AO$79:AO$88),0,1)</f>
        <v>1</v>
      </c>
      <c r="AM11" s="44">
        <f>IF(Sheet1!AP85=MAX(Sheet1!AP$79:AP$88),0,1)</f>
        <v>1</v>
      </c>
      <c r="AN11" s="44">
        <f>IF(Sheet1!AQ85=MAX(Sheet1!AQ$79:AQ$88),0,1)</f>
        <v>1</v>
      </c>
      <c r="AO11" s="44">
        <f>IF(Sheet1!AR85=MAX(Sheet1!AR$79:AR$88),0,1)</f>
        <v>1</v>
      </c>
      <c r="AP11" s="44">
        <f>IF(Sheet1!AS85=MAX(Sheet1!AS$79:AS$88),0,1)</f>
        <v>1</v>
      </c>
      <c r="AQ11" s="44">
        <f>IF(Sheet1!AT85=MAX(Sheet1!AT$79:AT$88),0,1)</f>
        <v>1</v>
      </c>
      <c r="AR11" s="44">
        <f>IF(Sheet1!AU85=MAX(Sheet1!AU$79:AU$88),0,1)</f>
        <v>1</v>
      </c>
      <c r="AS11" s="44">
        <f>IF(Sheet1!AV85=MAX(Sheet1!AV$79:AV$88),0,1)</f>
        <v>1</v>
      </c>
      <c r="AT11" s="44">
        <f>IF(Sheet1!AW85=MAX(Sheet1!AW$79:AW$88),0,1)</f>
        <v>1</v>
      </c>
      <c r="AU11" s="44">
        <f>IF(Sheet1!AX85=MAX(Sheet1!AX$79:AX$88),0,1)</f>
        <v>1</v>
      </c>
      <c r="AV11" s="44">
        <f>IF(Sheet1!AY85=MAX(Sheet1!AY$79:AY$88),0,1)</f>
        <v>1</v>
      </c>
      <c r="AW11" s="44">
        <f>IF(Sheet1!AZ85=MAX(Sheet1!AZ$79:AZ$88),0,1)</f>
        <v>1</v>
      </c>
      <c r="AX11" s="44">
        <f>IF(Sheet1!BA85=MAX(Sheet1!BA$79:BA$88),0,1)</f>
        <v>1</v>
      </c>
      <c r="AY11" s="44">
        <f>IF(Sheet1!BB85=MAX(Sheet1!BB$79:BB$88),0,1)</f>
        <v>1</v>
      </c>
      <c r="AZ11" s="44">
        <f>IF(Sheet1!BC85=MAX(Sheet1!BC$79:BC$88),0,1)</f>
        <v>1</v>
      </c>
      <c r="BA11" s="44">
        <f>IF(Sheet1!BD85=MAX(Sheet1!BD$79:BD$88),0,1)</f>
        <v>1</v>
      </c>
      <c r="BC11" s="21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</row>
    <row r="12" spans="1:79" x14ac:dyDescent="0.35">
      <c r="A12" s="13" t="s">
        <v>41</v>
      </c>
      <c r="B12" s="13" t="s">
        <v>68</v>
      </c>
      <c r="C12" s="15">
        <f>Sheet1!BQ86-Sheet1!CR86</f>
        <v>340.65716000000009</v>
      </c>
      <c r="D12" s="15">
        <f>Sheet1!BR86-Sheet1!CS86</f>
        <v>0</v>
      </c>
      <c r="E12" s="15">
        <f>Sheet1!BS86-Sheet1!CT86</f>
        <v>0</v>
      </c>
      <c r="F12" s="15">
        <f>Sheet1!BT86-Sheet1!CU86</f>
        <v>0</v>
      </c>
      <c r="G12" s="15">
        <f>Sheet1!BU86-Sheet1!CV86</f>
        <v>0</v>
      </c>
      <c r="H12" s="15">
        <f>Sheet1!BV86-Sheet1!CW86</f>
        <v>0</v>
      </c>
      <c r="I12" s="15">
        <f>Sheet1!BW86-Sheet1!CX86</f>
        <v>0</v>
      </c>
      <c r="J12" s="15">
        <f>Sheet1!BX86-Sheet1!CY86</f>
        <v>0</v>
      </c>
      <c r="K12" s="15">
        <f>Sheet1!BY86-Sheet1!CZ86</f>
        <v>0</v>
      </c>
      <c r="L12" s="15">
        <f>Sheet1!BZ86-Sheet1!DA86</f>
        <v>0</v>
      </c>
      <c r="M12" s="15">
        <f>Sheet1!CA86-Sheet1!DB86</f>
        <v>0</v>
      </c>
      <c r="N12" s="15">
        <f>Sheet1!CB86-Sheet1!DC86</f>
        <v>0</v>
      </c>
      <c r="O12" s="15">
        <f>Sheet1!CC86-Sheet1!DD86</f>
        <v>0</v>
      </c>
      <c r="P12" s="15">
        <f>Sheet1!CD86-Sheet1!DE86</f>
        <v>0</v>
      </c>
      <c r="Q12" s="15">
        <f>Sheet1!CE86-Sheet1!DF86</f>
        <v>0</v>
      </c>
      <c r="R12" s="15">
        <f>Sheet1!CF86-Sheet1!DG86</f>
        <v>0</v>
      </c>
      <c r="S12" s="15">
        <f>Sheet1!CG86-Sheet1!DH86</f>
        <v>0</v>
      </c>
      <c r="T12" s="15">
        <f>Sheet1!CH86-Sheet1!DI86</f>
        <v>0</v>
      </c>
      <c r="U12" s="15">
        <f>Sheet1!CI86-Sheet1!DJ86</f>
        <v>0</v>
      </c>
      <c r="V12" s="15">
        <f>Sheet1!CJ86-Sheet1!DK86</f>
        <v>0</v>
      </c>
      <c r="W12" s="15">
        <f>Sheet1!CK86-Sheet1!DL86</f>
        <v>0</v>
      </c>
      <c r="X12" s="15">
        <f>Sheet1!CL86-Sheet1!DM86</f>
        <v>0</v>
      </c>
      <c r="Y12" s="15">
        <f>Sheet1!CM86-Sheet1!DN86</f>
        <v>0</v>
      </c>
      <c r="Z12" s="15">
        <f>Sheet1!CN86-Sheet1!DO86</f>
        <v>0</v>
      </c>
      <c r="AB12" s="13" t="s">
        <v>41</v>
      </c>
      <c r="AC12" s="13" t="s">
        <v>68</v>
      </c>
      <c r="AD12" s="44">
        <f>IF(Sheet1!AG86=MAX(Sheet1!AG$79:AG$88),0,1)</f>
        <v>1</v>
      </c>
      <c r="AE12" s="44">
        <f>IF(Sheet1!AH86=MAX(Sheet1!AH$79:AH$88),0,1)</f>
        <v>1</v>
      </c>
      <c r="AF12" s="44">
        <f>IF(Sheet1!AI86=MAX(Sheet1!AI$79:AI$88),0,1)</f>
        <v>1</v>
      </c>
      <c r="AG12" s="44">
        <f>IF(Sheet1!AJ86=MAX(Sheet1!AJ$79:AJ$88),0,1)</f>
        <v>1</v>
      </c>
      <c r="AH12" s="44">
        <f>IF(Sheet1!AK86=MAX(Sheet1!AK$79:AK$88),0,1)</f>
        <v>1</v>
      </c>
      <c r="AI12" s="44">
        <f>IF(Sheet1!AL86=MAX(Sheet1!AL$79:AL$88),0,1)</f>
        <v>1</v>
      </c>
      <c r="AJ12" s="44">
        <f>IF(Sheet1!AM86=MAX(Sheet1!AM$79:AM$88),0,1)</f>
        <v>1</v>
      </c>
      <c r="AK12" s="44">
        <f>IF(Sheet1!AN86=MAX(Sheet1!AN$79:AN$88),0,1)</f>
        <v>1</v>
      </c>
      <c r="AL12" s="44">
        <f>IF(Sheet1!AO86=MAX(Sheet1!AO$79:AO$88),0,1)</f>
        <v>1</v>
      </c>
      <c r="AM12" s="44">
        <f>IF(Sheet1!AP86=MAX(Sheet1!AP$79:AP$88),0,1)</f>
        <v>1</v>
      </c>
      <c r="AN12" s="44">
        <f>IF(Sheet1!AQ86=MAX(Sheet1!AQ$79:AQ$88),0,1)</f>
        <v>1</v>
      </c>
      <c r="AO12" s="44">
        <f>IF(Sheet1!AR86=MAX(Sheet1!AR$79:AR$88),0,1)</f>
        <v>1</v>
      </c>
      <c r="AP12" s="44">
        <f>IF(Sheet1!AS86=MAX(Sheet1!AS$79:AS$88),0,1)</f>
        <v>1</v>
      </c>
      <c r="AQ12" s="44">
        <f>IF(Sheet1!AT86=MAX(Sheet1!AT$79:AT$88),0,1)</f>
        <v>1</v>
      </c>
      <c r="AR12" s="44">
        <f>IF(Sheet1!AU86=MAX(Sheet1!AU$79:AU$88),0,1)</f>
        <v>1</v>
      </c>
      <c r="AS12" s="44">
        <f>IF(Sheet1!AV86=MAX(Sheet1!AV$79:AV$88),0,1)</f>
        <v>1</v>
      </c>
      <c r="AT12" s="44">
        <f>IF(Sheet1!AW86=MAX(Sheet1!AW$79:AW$88),0,1)</f>
        <v>1</v>
      </c>
      <c r="AU12" s="44">
        <f>IF(Sheet1!AX86=MAX(Sheet1!AX$79:AX$88),0,1)</f>
        <v>1</v>
      </c>
      <c r="AV12" s="44">
        <f>IF(Sheet1!AY86=MAX(Sheet1!AY$79:AY$88),0,1)</f>
        <v>1</v>
      </c>
      <c r="AW12" s="44">
        <f>IF(Sheet1!AZ86=MAX(Sheet1!AZ$79:AZ$88),0,1)</f>
        <v>1</v>
      </c>
      <c r="AX12" s="44">
        <f>IF(Sheet1!BA86=MAX(Sheet1!BA$79:BA$88),0,1)</f>
        <v>1</v>
      </c>
      <c r="AY12" s="44">
        <f>IF(Sheet1!BB86=MAX(Sheet1!BB$79:BB$88),0,1)</f>
        <v>1</v>
      </c>
      <c r="AZ12" s="44">
        <f>IF(Sheet1!BC86=MAX(Sheet1!BC$79:BC$88),0,1)</f>
        <v>1</v>
      </c>
      <c r="BA12" s="44">
        <f>IF(Sheet1!BD86=MAX(Sheet1!BD$79:BD$88),0,1)</f>
        <v>1</v>
      </c>
      <c r="BC12" s="21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</row>
    <row r="13" spans="1:79" x14ac:dyDescent="0.35">
      <c r="A13" s="13" t="s">
        <v>42</v>
      </c>
      <c r="B13" s="13" t="s">
        <v>61</v>
      </c>
      <c r="C13" s="15">
        <f>Sheet1!BQ87-Sheet1!CR87</f>
        <v>0</v>
      </c>
      <c r="D13" s="15">
        <f>Sheet1!BR87-Sheet1!CS87</f>
        <v>0</v>
      </c>
      <c r="E13" s="15">
        <f>Sheet1!BS87-Sheet1!CT87</f>
        <v>0</v>
      </c>
      <c r="F13" s="15">
        <f>Sheet1!BT87-Sheet1!CU87</f>
        <v>0</v>
      </c>
      <c r="G13" s="15">
        <f>Sheet1!BU87-Sheet1!CV87</f>
        <v>0</v>
      </c>
      <c r="H13" s="15">
        <f>Sheet1!BV87-Sheet1!CW87</f>
        <v>0</v>
      </c>
      <c r="I13" s="15">
        <f>Sheet1!BW87-Sheet1!CX87</f>
        <v>0</v>
      </c>
      <c r="J13" s="15">
        <f>Sheet1!BX87-Sheet1!CY87</f>
        <v>0</v>
      </c>
      <c r="K13" s="15">
        <f>Sheet1!BY87-Sheet1!CZ87</f>
        <v>0</v>
      </c>
      <c r="L13" s="15">
        <f>Sheet1!BZ87-Sheet1!DA87</f>
        <v>0</v>
      </c>
      <c r="M13" s="15">
        <f>Sheet1!CA87-Sheet1!DB87</f>
        <v>0</v>
      </c>
      <c r="N13" s="15">
        <f>Sheet1!CB87-Sheet1!DC87</f>
        <v>0</v>
      </c>
      <c r="O13" s="15">
        <f>Sheet1!CC87-Sheet1!DD87</f>
        <v>0</v>
      </c>
      <c r="P13" s="15">
        <f>Sheet1!CD87-Sheet1!DE87</f>
        <v>0</v>
      </c>
      <c r="Q13" s="15">
        <f>Sheet1!CE87-Sheet1!DF87</f>
        <v>0</v>
      </c>
      <c r="R13" s="15">
        <f>Sheet1!CF87-Sheet1!DG87</f>
        <v>0</v>
      </c>
      <c r="S13" s="15">
        <f>Sheet1!CG87-Sheet1!DH87</f>
        <v>0</v>
      </c>
      <c r="T13" s="15">
        <f>Sheet1!CH87-Sheet1!DI87</f>
        <v>0</v>
      </c>
      <c r="U13" s="15">
        <f>Sheet1!CI87-Sheet1!DJ87</f>
        <v>0</v>
      </c>
      <c r="V13" s="15">
        <f>Sheet1!CJ87-Sheet1!DK87</f>
        <v>0</v>
      </c>
      <c r="W13" s="15">
        <f>Sheet1!CK87-Sheet1!DL87</f>
        <v>0</v>
      </c>
      <c r="X13" s="15">
        <f>Sheet1!CL87-Sheet1!DM87</f>
        <v>0</v>
      </c>
      <c r="Y13" s="15">
        <f>Sheet1!CM87-Sheet1!DN87</f>
        <v>0</v>
      </c>
      <c r="Z13" s="15">
        <f>Sheet1!CN87-Sheet1!DO87</f>
        <v>0</v>
      </c>
      <c r="AB13" s="13" t="s">
        <v>42</v>
      </c>
      <c r="AC13" s="13" t="s">
        <v>61</v>
      </c>
      <c r="AD13" s="44">
        <f>IF(Sheet1!AG87=MAX(Sheet1!AG$79:AG$88),0,1)</f>
        <v>1</v>
      </c>
      <c r="AE13" s="44">
        <f>IF(Sheet1!AH87=MAX(Sheet1!AH$79:AH$88),0,1)</f>
        <v>1</v>
      </c>
      <c r="AF13" s="44">
        <f>IF(Sheet1!AI87=MAX(Sheet1!AI$79:AI$88),0,1)</f>
        <v>1</v>
      </c>
      <c r="AG13" s="44">
        <f>IF(Sheet1!AJ87=MAX(Sheet1!AJ$79:AJ$88),0,1)</f>
        <v>1</v>
      </c>
      <c r="AH13" s="44">
        <f>IF(Sheet1!AK87=MAX(Sheet1!AK$79:AK$88),0,1)</f>
        <v>1</v>
      </c>
      <c r="AI13" s="44">
        <f>IF(Sheet1!AL87=MAX(Sheet1!AL$79:AL$88),0,1)</f>
        <v>0</v>
      </c>
      <c r="AJ13" s="44">
        <f>IF(Sheet1!AM87=MAX(Sheet1!AM$79:AM$88),0,1)</f>
        <v>0</v>
      </c>
      <c r="AK13" s="44">
        <f>IF(Sheet1!AN87=MAX(Sheet1!AN$79:AN$88),0,1)</f>
        <v>0</v>
      </c>
      <c r="AL13" s="44">
        <f>IF(Sheet1!AO87=MAX(Sheet1!AO$79:AO$88),0,1)</f>
        <v>0</v>
      </c>
      <c r="AM13" s="44">
        <f>IF(Sheet1!AP87=MAX(Sheet1!AP$79:AP$88),0,1)</f>
        <v>1</v>
      </c>
      <c r="AN13" s="44">
        <f>IF(Sheet1!AQ87=MAX(Sheet1!AQ$79:AQ$88),0,1)</f>
        <v>1</v>
      </c>
      <c r="AO13" s="44">
        <f>IF(Sheet1!AR87=MAX(Sheet1!AR$79:AR$88),0,1)</f>
        <v>1</v>
      </c>
      <c r="AP13" s="44">
        <f>IF(Sheet1!AS87=MAX(Sheet1!AS$79:AS$88),0,1)</f>
        <v>1</v>
      </c>
      <c r="AQ13" s="44">
        <f>IF(Sheet1!AT87=MAX(Sheet1!AT$79:AT$88),0,1)</f>
        <v>1</v>
      </c>
      <c r="AR13" s="44">
        <f>IF(Sheet1!AU87=MAX(Sheet1!AU$79:AU$88),0,1)</f>
        <v>1</v>
      </c>
      <c r="AS13" s="44">
        <f>IF(Sheet1!AV87=MAX(Sheet1!AV$79:AV$88),0,1)</f>
        <v>1</v>
      </c>
      <c r="AT13" s="44">
        <f>IF(Sheet1!AW87=MAX(Sheet1!AW$79:AW$88),0,1)</f>
        <v>1</v>
      </c>
      <c r="AU13" s="44">
        <f>IF(Sheet1!AX87=MAX(Sheet1!AX$79:AX$88),0,1)</f>
        <v>1</v>
      </c>
      <c r="AV13" s="44">
        <f>IF(Sheet1!AY87=MAX(Sheet1!AY$79:AY$88),0,1)</f>
        <v>1</v>
      </c>
      <c r="AW13" s="44">
        <f>IF(Sheet1!AZ87=MAX(Sheet1!AZ$79:AZ$88),0,1)</f>
        <v>1</v>
      </c>
      <c r="AX13" s="44">
        <f>IF(Sheet1!BA87=MAX(Sheet1!BA$79:BA$88),0,1)</f>
        <v>1</v>
      </c>
      <c r="AY13" s="44">
        <f>IF(Sheet1!BB87=MAX(Sheet1!BB$79:BB$88),0,1)</f>
        <v>1</v>
      </c>
      <c r="AZ13" s="44">
        <f>IF(Sheet1!BC87=MAX(Sheet1!BC$79:BC$88),0,1)</f>
        <v>1</v>
      </c>
      <c r="BA13" s="44">
        <f>IF(Sheet1!BD87=MAX(Sheet1!BD$79:BD$88),0,1)</f>
        <v>1</v>
      </c>
      <c r="BC13" s="21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</row>
    <row r="14" spans="1:79" x14ac:dyDescent="0.35">
      <c r="A14" s="13" t="s">
        <v>43</v>
      </c>
      <c r="B14" s="13" t="s">
        <v>69</v>
      </c>
      <c r="C14" s="15">
        <f>Sheet1!BQ88-Sheet1!CR88</f>
        <v>0</v>
      </c>
      <c r="D14" s="15">
        <f>Sheet1!BR88-Sheet1!CS88</f>
        <v>0</v>
      </c>
      <c r="E14" s="15">
        <f>Sheet1!BS88-Sheet1!CT88</f>
        <v>0</v>
      </c>
      <c r="F14" s="15">
        <f>Sheet1!BT88-Sheet1!CU88</f>
        <v>0</v>
      </c>
      <c r="G14" s="15">
        <f>Sheet1!BU88-Sheet1!CV88</f>
        <v>0</v>
      </c>
      <c r="H14" s="15">
        <f>Sheet1!BV88-Sheet1!CW88</f>
        <v>0</v>
      </c>
      <c r="I14" s="15">
        <f>Sheet1!BW88-Sheet1!CX88</f>
        <v>0</v>
      </c>
      <c r="J14" s="15">
        <f>Sheet1!BX88-Sheet1!CY88</f>
        <v>0</v>
      </c>
      <c r="K14" s="15">
        <f>Sheet1!BY88-Sheet1!CZ88</f>
        <v>0</v>
      </c>
      <c r="L14" s="15">
        <f>Sheet1!BZ88-Sheet1!DA88</f>
        <v>0</v>
      </c>
      <c r="M14" s="15">
        <f>Sheet1!CA88-Sheet1!DB88</f>
        <v>0</v>
      </c>
      <c r="N14" s="15">
        <f>Sheet1!CB88-Sheet1!DC88</f>
        <v>0</v>
      </c>
      <c r="O14" s="15">
        <f>Sheet1!CC88-Sheet1!DD88</f>
        <v>0</v>
      </c>
      <c r="P14" s="15">
        <f>Sheet1!CD88-Sheet1!DE88</f>
        <v>0</v>
      </c>
      <c r="Q14" s="15">
        <f>Sheet1!CE88-Sheet1!DF88</f>
        <v>0</v>
      </c>
      <c r="R14" s="15">
        <f>Sheet1!CF88-Sheet1!DG88</f>
        <v>0</v>
      </c>
      <c r="S14" s="15">
        <f>Sheet1!CG88-Sheet1!DH88</f>
        <v>0</v>
      </c>
      <c r="T14" s="15">
        <f>Sheet1!CH88-Sheet1!DI88</f>
        <v>0</v>
      </c>
      <c r="U14" s="15">
        <f>Sheet1!CI88-Sheet1!DJ88</f>
        <v>0</v>
      </c>
      <c r="V14" s="15">
        <f>Sheet1!CJ88-Sheet1!DK88</f>
        <v>0</v>
      </c>
      <c r="W14" s="15">
        <f>Sheet1!CK88-Sheet1!DL88</f>
        <v>0</v>
      </c>
      <c r="X14" s="15">
        <f>Sheet1!CL88-Sheet1!DM88</f>
        <v>0</v>
      </c>
      <c r="Y14" s="15">
        <f>Sheet1!CM88-Sheet1!DN88</f>
        <v>0</v>
      </c>
      <c r="Z14" s="15">
        <f>Sheet1!CN88-Sheet1!DO88</f>
        <v>0</v>
      </c>
      <c r="AB14" s="13" t="s">
        <v>43</v>
      </c>
      <c r="AC14" s="13" t="s">
        <v>69</v>
      </c>
      <c r="AD14" s="44">
        <f>IF(Sheet1!AG88=MAX(Sheet1!AG$79:AG$88),0,1)</f>
        <v>1</v>
      </c>
      <c r="AE14" s="44">
        <f>IF(Sheet1!AH88=MAX(Sheet1!AH$79:AH$88),0,1)</f>
        <v>1</v>
      </c>
      <c r="AF14" s="44">
        <f>IF(Sheet1!AI88=MAX(Sheet1!AI$79:AI$88),0,1)</f>
        <v>1</v>
      </c>
      <c r="AG14" s="44">
        <f>IF(Sheet1!AJ88=MAX(Sheet1!AJ$79:AJ$88),0,1)</f>
        <v>1</v>
      </c>
      <c r="AH14" s="44">
        <f>IF(Sheet1!AK88=MAX(Sheet1!AK$79:AK$88),0,1)</f>
        <v>1</v>
      </c>
      <c r="AI14" s="44">
        <f>IF(Sheet1!AL88=MAX(Sheet1!AL$79:AL$88),0,1)</f>
        <v>1</v>
      </c>
      <c r="AJ14" s="44">
        <f>IF(Sheet1!AM88=MAX(Sheet1!AM$79:AM$88),0,1)</f>
        <v>1</v>
      </c>
      <c r="AK14" s="44">
        <f>IF(Sheet1!AN88=MAX(Sheet1!AN$79:AN$88),0,1)</f>
        <v>1</v>
      </c>
      <c r="AL14" s="44">
        <f>IF(Sheet1!AO88=MAX(Sheet1!AO$79:AO$88),0,1)</f>
        <v>1</v>
      </c>
      <c r="AM14" s="44">
        <f>IF(Sheet1!AP88=MAX(Sheet1!AP$79:AP$88),0,1)</f>
        <v>1</v>
      </c>
      <c r="AN14" s="44">
        <f>IF(Sheet1!AQ88=MAX(Sheet1!AQ$79:AQ$88),0,1)</f>
        <v>1</v>
      </c>
      <c r="AO14" s="44">
        <f>IF(Sheet1!AR88=MAX(Sheet1!AR$79:AR$88),0,1)</f>
        <v>1</v>
      </c>
      <c r="AP14" s="44">
        <f>IF(Sheet1!AS88=MAX(Sheet1!AS$79:AS$88),0,1)</f>
        <v>1</v>
      </c>
      <c r="AQ14" s="44">
        <f>IF(Sheet1!AT88=MAX(Sheet1!AT$79:AT$88),0,1)</f>
        <v>1</v>
      </c>
      <c r="AR14" s="44">
        <f>IF(Sheet1!AU88=MAX(Sheet1!AU$79:AU$88),0,1)</f>
        <v>1</v>
      </c>
      <c r="AS14" s="44">
        <f>IF(Sheet1!AV88=MAX(Sheet1!AV$79:AV$88),0,1)</f>
        <v>1</v>
      </c>
      <c r="AT14" s="44">
        <f>IF(Sheet1!AW88=MAX(Sheet1!AW$79:AW$88),0,1)</f>
        <v>1</v>
      </c>
      <c r="AU14" s="44">
        <f>IF(Sheet1!AX88=MAX(Sheet1!AX$79:AX$88),0,1)</f>
        <v>1</v>
      </c>
      <c r="AV14" s="44">
        <f>IF(Sheet1!AY88=MAX(Sheet1!AY$79:AY$88),0,1)</f>
        <v>1</v>
      </c>
      <c r="AW14" s="44">
        <f>IF(Sheet1!AZ88=MAX(Sheet1!AZ$79:AZ$88),0,1)</f>
        <v>1</v>
      </c>
      <c r="AX14" s="44">
        <f>IF(Sheet1!BA88=MAX(Sheet1!BA$79:BA$88),0,1)</f>
        <v>1</v>
      </c>
      <c r="AY14" s="44">
        <f>IF(Sheet1!BB88=MAX(Sheet1!BB$79:BB$88),0,1)</f>
        <v>1</v>
      </c>
      <c r="AZ14" s="44">
        <f>IF(Sheet1!BC88=MAX(Sheet1!BC$79:BC$88),0,1)</f>
        <v>1</v>
      </c>
      <c r="BA14" s="44">
        <f>IF(Sheet1!BD88=MAX(Sheet1!BD$79:BD$88),0,1)</f>
        <v>1</v>
      </c>
      <c r="BC14" s="21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</row>
    <row r="18" spans="1:79" x14ac:dyDescent="0.35">
      <c r="A18" s="23" t="s">
        <v>116</v>
      </c>
    </row>
    <row r="19" spans="1:79" x14ac:dyDescent="0.35">
      <c r="A19" s="23" t="s">
        <v>114</v>
      </c>
      <c r="AB19" t="s">
        <v>118</v>
      </c>
      <c r="BC19" t="s">
        <v>123</v>
      </c>
    </row>
    <row r="20" spans="1:79" x14ac:dyDescent="0.35">
      <c r="A20" s="62" t="s">
        <v>44</v>
      </c>
      <c r="B20" s="63"/>
      <c r="C20" s="66" t="s">
        <v>22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B20" s="62" t="s">
        <v>44</v>
      </c>
      <c r="AC20" s="63"/>
      <c r="AD20" s="66" t="s">
        <v>22</v>
      </c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C20" s="66" t="s">
        <v>46</v>
      </c>
      <c r="BD20" s="66" t="s">
        <v>22</v>
      </c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</row>
    <row r="21" spans="1:79" x14ac:dyDescent="0.35">
      <c r="A21" s="64"/>
      <c r="B21" s="65"/>
      <c r="C21" s="14">
        <v>1</v>
      </c>
      <c r="D21" s="14">
        <v>2</v>
      </c>
      <c r="E21" s="14">
        <v>3</v>
      </c>
      <c r="F21" s="14">
        <v>4</v>
      </c>
      <c r="G21" s="14">
        <v>5</v>
      </c>
      <c r="H21" s="14">
        <v>6</v>
      </c>
      <c r="I21" s="14">
        <v>7</v>
      </c>
      <c r="J21" s="14">
        <v>8</v>
      </c>
      <c r="K21" s="14">
        <v>9</v>
      </c>
      <c r="L21" s="14">
        <v>10</v>
      </c>
      <c r="M21" s="14">
        <v>11</v>
      </c>
      <c r="N21" s="14">
        <v>12</v>
      </c>
      <c r="O21" s="14">
        <v>13</v>
      </c>
      <c r="P21" s="14">
        <v>14</v>
      </c>
      <c r="Q21" s="14">
        <v>15</v>
      </c>
      <c r="R21" s="14">
        <v>16</v>
      </c>
      <c r="S21" s="14">
        <v>17</v>
      </c>
      <c r="T21" s="14">
        <v>18</v>
      </c>
      <c r="U21" s="14">
        <v>19</v>
      </c>
      <c r="V21" s="14">
        <v>20</v>
      </c>
      <c r="W21" s="14">
        <v>21</v>
      </c>
      <c r="X21" s="14">
        <v>22</v>
      </c>
      <c r="Y21" s="14">
        <v>23</v>
      </c>
      <c r="Z21" s="14">
        <v>24</v>
      </c>
      <c r="AB21" s="64"/>
      <c r="AC21" s="65"/>
      <c r="AD21" s="14">
        <v>1</v>
      </c>
      <c r="AE21" s="14">
        <v>2</v>
      </c>
      <c r="AF21" s="14">
        <v>3</v>
      </c>
      <c r="AG21" s="14">
        <v>4</v>
      </c>
      <c r="AH21" s="14">
        <v>5</v>
      </c>
      <c r="AI21" s="14">
        <v>6</v>
      </c>
      <c r="AJ21" s="14">
        <v>7</v>
      </c>
      <c r="AK21" s="14">
        <v>8</v>
      </c>
      <c r="AL21" s="14">
        <v>9</v>
      </c>
      <c r="AM21" s="14">
        <v>10</v>
      </c>
      <c r="AN21" s="14">
        <v>11</v>
      </c>
      <c r="AO21" s="14">
        <v>12</v>
      </c>
      <c r="AP21" s="14">
        <v>13</v>
      </c>
      <c r="AQ21" s="14">
        <v>14</v>
      </c>
      <c r="AR21" s="14">
        <v>15</v>
      </c>
      <c r="AS21" s="14">
        <v>16</v>
      </c>
      <c r="AT21" s="14">
        <v>17</v>
      </c>
      <c r="AU21" s="14">
        <v>18</v>
      </c>
      <c r="AV21" s="14">
        <v>19</v>
      </c>
      <c r="AW21" s="14">
        <v>20</v>
      </c>
      <c r="AX21" s="14">
        <v>21</v>
      </c>
      <c r="AY21" s="14">
        <v>22</v>
      </c>
      <c r="AZ21" s="14">
        <v>23</v>
      </c>
      <c r="BA21" s="14">
        <v>24</v>
      </c>
      <c r="BC21" s="66"/>
      <c r="BD21" s="14">
        <v>1</v>
      </c>
      <c r="BE21" s="14">
        <v>2</v>
      </c>
      <c r="BF21" s="14">
        <v>3</v>
      </c>
      <c r="BG21" s="14">
        <v>4</v>
      </c>
      <c r="BH21" s="14">
        <v>5</v>
      </c>
      <c r="BI21" s="14">
        <v>6</v>
      </c>
      <c r="BJ21" s="14">
        <v>7</v>
      </c>
      <c r="BK21" s="14">
        <v>8</v>
      </c>
      <c r="BL21" s="14">
        <v>9</v>
      </c>
      <c r="BM21" s="14">
        <v>10</v>
      </c>
      <c r="BN21" s="14">
        <v>11</v>
      </c>
      <c r="BO21" s="14">
        <v>12</v>
      </c>
      <c r="BP21" s="14">
        <v>13</v>
      </c>
      <c r="BQ21" s="14">
        <v>14</v>
      </c>
      <c r="BR21" s="14">
        <v>15</v>
      </c>
      <c r="BS21" s="14">
        <v>16</v>
      </c>
      <c r="BT21" s="14">
        <v>17</v>
      </c>
      <c r="BU21" s="14">
        <v>18</v>
      </c>
      <c r="BV21" s="14">
        <v>19</v>
      </c>
      <c r="BW21" s="14">
        <v>20</v>
      </c>
      <c r="BX21" s="14">
        <v>21</v>
      </c>
      <c r="BY21" s="14">
        <v>22</v>
      </c>
      <c r="BZ21" s="14">
        <v>23</v>
      </c>
      <c r="CA21" s="14">
        <v>24</v>
      </c>
    </row>
    <row r="22" spans="1:79" x14ac:dyDescent="0.35">
      <c r="A22" s="13" t="s">
        <v>34</v>
      </c>
      <c r="B22" s="13" t="s">
        <v>60</v>
      </c>
      <c r="C22" s="15">
        <f>Sheet1!BQ97-Sheet1!CR97</f>
        <v>0</v>
      </c>
      <c r="D22" s="15">
        <f>Sheet1!BR97-Sheet1!CS97</f>
        <v>0</v>
      </c>
      <c r="E22" s="15">
        <f>Sheet1!BS97-Sheet1!CT97</f>
        <v>0</v>
      </c>
      <c r="F22" s="15">
        <f>Sheet1!BT97-Sheet1!CU97</f>
        <v>0</v>
      </c>
      <c r="G22" s="15">
        <f>Sheet1!BU97-Sheet1!CV97</f>
        <v>-2.2737367544323206E-13</v>
      </c>
      <c r="H22" s="15">
        <f>Sheet1!BV97-Sheet1!CW97</f>
        <v>0</v>
      </c>
      <c r="I22" s="15">
        <f>Sheet1!BW97-Sheet1!CX97</f>
        <v>-1.7053025658242404E-13</v>
      </c>
      <c r="J22" s="15">
        <f>Sheet1!BX97-Sheet1!CY97</f>
        <v>-1.3500311979441904E-13</v>
      </c>
      <c r="K22" s="15">
        <f>Sheet1!BY97-Sheet1!CZ97</f>
        <v>-1.3500311979441904E-13</v>
      </c>
      <c r="L22" s="15">
        <f>Sheet1!BZ97-Sheet1!DA97</f>
        <v>-1.3500311979441904E-13</v>
      </c>
      <c r="M22" s="15">
        <f>Sheet1!CA97-Sheet1!DB97</f>
        <v>0</v>
      </c>
      <c r="N22" s="15">
        <f>Sheet1!CB97-Sheet1!DC97</f>
        <v>-1.3500311979441904E-13</v>
      </c>
      <c r="O22" s="15">
        <f>Sheet1!CC97-Sheet1!DD97</f>
        <v>-1.3500311979441904E-13</v>
      </c>
      <c r="P22" s="15">
        <f>Sheet1!CD97-Sheet1!DE97</f>
        <v>-1.7053025658242404E-13</v>
      </c>
      <c r="Q22" s="15">
        <f>Sheet1!CE97-Sheet1!DF97</f>
        <v>0</v>
      </c>
      <c r="R22" s="15">
        <f>Sheet1!CF97-Sheet1!DG97</f>
        <v>0</v>
      </c>
      <c r="S22" s="15">
        <f>Sheet1!CG97-Sheet1!DH97</f>
        <v>0</v>
      </c>
      <c r="T22" s="15">
        <f>Sheet1!CH97-Sheet1!DI97</f>
        <v>0</v>
      </c>
      <c r="U22" s="15">
        <f>Sheet1!CI97-Sheet1!DJ97</f>
        <v>0</v>
      </c>
      <c r="V22" s="15">
        <f>Sheet1!CJ97-Sheet1!DK97</f>
        <v>-1.3500311979441904E-13</v>
      </c>
      <c r="W22" s="15">
        <f>Sheet1!CK97-Sheet1!DL97</f>
        <v>-1.3500311979441904E-13</v>
      </c>
      <c r="X22" s="15">
        <f>Sheet1!CL97-Sheet1!DM97</f>
        <v>-1.9895196601282805E-13</v>
      </c>
      <c r="Y22" s="15">
        <f>Sheet1!CM97-Sheet1!DN97</f>
        <v>0</v>
      </c>
      <c r="Z22" s="15">
        <f>Sheet1!CN97-Sheet1!DO97</f>
        <v>0</v>
      </c>
      <c r="AB22" s="13" t="s">
        <v>34</v>
      </c>
      <c r="AC22" s="13" t="s">
        <v>60</v>
      </c>
      <c r="AD22" s="44">
        <f>IF(Sheet1!AG97=MAX(Sheet1!AG$97:AG$106),0,1)</f>
        <v>0</v>
      </c>
      <c r="AE22" s="44">
        <f>IF(Sheet1!AH97=MAX(Sheet1!AH$97:AH$106),0,1)</f>
        <v>0</v>
      </c>
      <c r="AF22" s="44">
        <f>IF(Sheet1!AI97=MAX(Sheet1!AI$97:AI$106),0,1)</f>
        <v>0</v>
      </c>
      <c r="AG22" s="44">
        <f>IF(Sheet1!AJ97=MAX(Sheet1!AJ$97:AJ$106),0,1)</f>
        <v>0</v>
      </c>
      <c r="AH22" s="44">
        <f>IF(Sheet1!AK97=MAX(Sheet1!AK$97:AK$106),0,1)</f>
        <v>0</v>
      </c>
      <c r="AI22" s="44">
        <f>IF(Sheet1!AL97=MAX(Sheet1!AL$97:AL$106),0,1)</f>
        <v>0</v>
      </c>
      <c r="AJ22" s="44">
        <f>IF(Sheet1!AM97=MAX(Sheet1!AM$97:AM$106),0,1)</f>
        <v>0</v>
      </c>
      <c r="AK22" s="44">
        <f>IF(Sheet1!AN97=MAX(Sheet1!AN$97:AN$106),0,1)</f>
        <v>0</v>
      </c>
      <c r="AL22" s="44">
        <f>IF(Sheet1!AO97=MAX(Sheet1!AO$97:AO$106),0,1)</f>
        <v>0</v>
      </c>
      <c r="AM22" s="44">
        <f>IF(Sheet1!AP97=MAX(Sheet1!AP$97:AP$106),0,1)</f>
        <v>0</v>
      </c>
      <c r="AN22" s="44">
        <f>IF(Sheet1!AQ97=MAX(Sheet1!AQ$97:AQ$106),0,1)</f>
        <v>0</v>
      </c>
      <c r="AO22" s="44">
        <f>IF(Sheet1!AR97=MAX(Sheet1!AR$97:AR$106),0,1)</f>
        <v>0</v>
      </c>
      <c r="AP22" s="44">
        <f>IF(Sheet1!AS97=MAX(Sheet1!AS$97:AS$106),0,1)</f>
        <v>0</v>
      </c>
      <c r="AQ22" s="44">
        <f>IF(Sheet1!AT97=MAX(Sheet1!AT$97:AT$106),0,1)</f>
        <v>0</v>
      </c>
      <c r="AR22" s="44">
        <f>IF(Sheet1!AU97=MAX(Sheet1!AU$97:AU$106),0,1)</f>
        <v>0</v>
      </c>
      <c r="AS22" s="44">
        <f>IF(Sheet1!AV97=MAX(Sheet1!AV$97:AV$106),0,1)</f>
        <v>0</v>
      </c>
      <c r="AT22" s="44">
        <f>IF(Sheet1!AW97=MAX(Sheet1!AW$97:AW$106),0,1)</f>
        <v>0</v>
      </c>
      <c r="AU22" s="44">
        <f>IF(Sheet1!AX97=MAX(Sheet1!AX$97:AX$106),0,1)</f>
        <v>0</v>
      </c>
      <c r="AV22" s="44">
        <f>IF(Sheet1!AY97=MAX(Sheet1!AY$97:AY$106),0,1)</f>
        <v>0</v>
      </c>
      <c r="AW22" s="44">
        <f>IF(Sheet1!AZ97=MAX(Sheet1!AZ$97:AZ$106),0,1)</f>
        <v>0</v>
      </c>
      <c r="AX22" s="44">
        <f>IF(Sheet1!BA97=MAX(Sheet1!BA$97:BA$106),0,1)</f>
        <v>0</v>
      </c>
      <c r="AY22" s="44">
        <f>IF(Sheet1!BB97=MAX(Sheet1!BB$97:BB$106),0,1)</f>
        <v>0</v>
      </c>
      <c r="AZ22" s="44">
        <f>IF(Sheet1!BC97=MAX(Sheet1!BC$97:BC$106),0,1)</f>
        <v>0</v>
      </c>
      <c r="BA22" s="44">
        <f>IF(Sheet1!BD97=MAX(Sheet1!BD$97:BD$106),0,1)</f>
        <v>0</v>
      </c>
      <c r="BC22" s="13" t="s">
        <v>117</v>
      </c>
      <c r="BD22" s="22">
        <f>MAX(Sheet1!AG97:AG106)</f>
        <v>1141.8</v>
      </c>
      <c r="BE22" s="22">
        <f>MAX(Sheet1!AH97:AH106)</f>
        <v>1060.8</v>
      </c>
      <c r="BF22" s="22">
        <f>MAX(Sheet1!AI97:AI106)</f>
        <v>940.8</v>
      </c>
      <c r="BG22" s="22">
        <f>MAX(Sheet1!AJ97:AJ106)</f>
        <v>1060.8</v>
      </c>
      <c r="BH22" s="22">
        <f>MAX(Sheet1!AK97:AK106)</f>
        <v>946.07880299251872</v>
      </c>
      <c r="BI22" s="22">
        <f>MAX(Sheet1!AL97:AL106)</f>
        <v>967.8000000000003</v>
      </c>
      <c r="BJ22" s="22">
        <f>MAX(Sheet1!AM97:AM106)</f>
        <v>1087.8000000000002</v>
      </c>
      <c r="BK22" s="22">
        <f>MAX(Sheet1!AN97:AN106)</f>
        <v>1141.8000000000002</v>
      </c>
      <c r="BL22" s="22">
        <f>MAX(Sheet1!AO97:AO106)</f>
        <v>1141.8000000000002</v>
      </c>
      <c r="BM22" s="22">
        <f>MAX(Sheet1!AP97:AP106)</f>
        <v>1141.8000000000002</v>
      </c>
      <c r="BN22" s="22">
        <f>MAX(Sheet1!AQ97:AQ106)</f>
        <v>1021.8000000000004</v>
      </c>
      <c r="BO22" s="22">
        <f>MAX(Sheet1!AR97:AR106)</f>
        <v>1141.8000000000002</v>
      </c>
      <c r="BP22" s="22">
        <f>MAX(Sheet1!AS97:AS106)</f>
        <v>1141.8000000000002</v>
      </c>
      <c r="BQ22" s="22">
        <f>MAX(Sheet1!AT97:AT106)</f>
        <v>1087.8000000000002</v>
      </c>
      <c r="BR22" s="22">
        <f>MAX(Sheet1!AU97:AU106)</f>
        <v>967.8000000000003</v>
      </c>
      <c r="BS22" s="22">
        <f>MAX(Sheet1!AV97:AV106)</f>
        <v>1087.8000000000002</v>
      </c>
      <c r="BT22" s="22">
        <f>MAX(Sheet1!AW97:AW106)</f>
        <v>967.8000000000003</v>
      </c>
      <c r="BU22" s="22">
        <f>MAX(Sheet1!AX97:AX106)</f>
        <v>1021.8000000000003</v>
      </c>
      <c r="BV22" s="22">
        <f>MAX(Sheet1!AY97:AY106)</f>
        <v>1141.8000000000002</v>
      </c>
      <c r="BW22" s="22">
        <f>MAX(Sheet1!AZ97:AZ106)</f>
        <v>1141.8000000000002</v>
      </c>
      <c r="BX22" s="22">
        <f>MAX(Sheet1!BA97:BA106)</f>
        <v>1141.8000000000002</v>
      </c>
      <c r="BY22" s="22">
        <f>MAX(Sheet1!BB97:BB106)</f>
        <v>1087.8000000000004</v>
      </c>
      <c r="BZ22" s="22">
        <f>MAX(Sheet1!BC97:BC106)</f>
        <v>967.8000000000003</v>
      </c>
      <c r="CA22" s="22">
        <f>MAX(Sheet1!BD97:BD106)</f>
        <v>967.8000000000003</v>
      </c>
    </row>
    <row r="23" spans="1:79" x14ac:dyDescent="0.35">
      <c r="A23" s="13" t="s">
        <v>35</v>
      </c>
      <c r="B23" s="13" t="s">
        <v>62</v>
      </c>
      <c r="C23" s="15">
        <f>Sheet1!BQ98-Sheet1!CR98</f>
        <v>560</v>
      </c>
      <c r="D23" s="15">
        <f>Sheet1!BR98-Sheet1!CS98</f>
        <v>509.83154607991332</v>
      </c>
      <c r="E23" s="15">
        <f>Sheet1!BS98-Sheet1!CT98</f>
        <v>560</v>
      </c>
      <c r="F23" s="15">
        <f>Sheet1!BT98-Sheet1!CU98</f>
        <v>560</v>
      </c>
      <c r="G23" s="15">
        <f>Sheet1!BU98-Sheet1!CV98</f>
        <v>565.04987531172071</v>
      </c>
      <c r="H23" s="15">
        <f>Sheet1!BV98-Sheet1!CW98</f>
        <v>559.99999999999989</v>
      </c>
      <c r="I23" s="15">
        <f>Sheet1!BW98-Sheet1!CX98</f>
        <v>559.99999999999989</v>
      </c>
      <c r="J23" s="15">
        <f>Sheet1!BX98-Sheet1!CY98</f>
        <v>559.99999999999989</v>
      </c>
      <c r="K23" s="15">
        <f>Sheet1!BY98-Sheet1!CZ98</f>
        <v>374.92808703712649</v>
      </c>
      <c r="L23" s="15">
        <f>Sheet1!BZ98-Sheet1!DA98</f>
        <v>74.928087037126488</v>
      </c>
      <c r="M23" s="15">
        <f>Sheet1!CA98-Sheet1!DB98</f>
        <v>41.015440308337702</v>
      </c>
      <c r="N23" s="15">
        <f>Sheet1!CB98-Sheet1!DC98</f>
        <v>289.88424647509305</v>
      </c>
      <c r="O23" s="15">
        <f>Sheet1!CC98-Sheet1!DD98</f>
        <v>240.41541103576105</v>
      </c>
      <c r="P23" s="15">
        <f>Sheet1!CD98-Sheet1!DE98</f>
        <v>66.18874762160317</v>
      </c>
      <c r="Q23" s="15">
        <f>Sheet1!CE98-Sheet1!DF98</f>
        <v>366.18874762160317</v>
      </c>
      <c r="R23" s="15">
        <f>Sheet1!CF98-Sheet1!DG98</f>
        <v>259.41085622286084</v>
      </c>
      <c r="S23" s="15">
        <f>Sheet1!CG98-Sheet1!DH98</f>
        <v>321.55119871200588</v>
      </c>
      <c r="T23" s="15">
        <f>Sheet1!CH98-Sheet1!DI98</f>
        <v>121.44315558374319</v>
      </c>
      <c r="U23" s="15">
        <f>Sheet1!CI98-Sheet1!DJ98</f>
        <v>369.72770063911753</v>
      </c>
      <c r="V23" s="15">
        <f>Sheet1!CJ98-Sheet1!DK98</f>
        <v>189.59999999999923</v>
      </c>
      <c r="W23" s="15">
        <f>Sheet1!CK98-Sheet1!DL98</f>
        <v>241.31545494462512</v>
      </c>
      <c r="X23" s="15">
        <f>Sheet1!CL98-Sheet1!DM98</f>
        <v>47.701056740010017</v>
      </c>
      <c r="Y23" s="15">
        <f>Sheet1!CM98-Sheet1!DN98</f>
        <v>291.73754403083251</v>
      </c>
      <c r="Z23" s="15">
        <f>Sheet1!CN98-Sheet1!DO98</f>
        <v>559.99999999999989</v>
      </c>
      <c r="AB23" s="13" t="s">
        <v>35</v>
      </c>
      <c r="AC23" s="13" t="s">
        <v>62</v>
      </c>
      <c r="AD23" s="44">
        <f>IF(Sheet1!AG98=MAX(Sheet1!AG$97:AG$106),0,1)</f>
        <v>1</v>
      </c>
      <c r="AE23" s="44">
        <f>IF(Sheet1!AH98=MAX(Sheet1!AH$97:AH$106),0,1)</f>
        <v>1</v>
      </c>
      <c r="AF23" s="44">
        <f>IF(Sheet1!AI98=MAX(Sheet1!AI$97:AI$106),0,1)</f>
        <v>1</v>
      </c>
      <c r="AG23" s="44">
        <f>IF(Sheet1!AJ98=MAX(Sheet1!AJ$97:AJ$106),0,1)</f>
        <v>1</v>
      </c>
      <c r="AH23" s="44">
        <f>IF(Sheet1!AK98=MAX(Sheet1!AK$97:AK$106),0,1)</f>
        <v>1</v>
      </c>
      <c r="AI23" s="44">
        <f>IF(Sheet1!AL98=MAX(Sheet1!AL$97:AL$106),0,1)</f>
        <v>1</v>
      </c>
      <c r="AJ23" s="44">
        <f>IF(Sheet1!AM98=MAX(Sheet1!AM$97:AM$106),0,1)</f>
        <v>1</v>
      </c>
      <c r="AK23" s="44">
        <f>IF(Sheet1!AN98=MAX(Sheet1!AN$97:AN$106),0,1)</f>
        <v>1</v>
      </c>
      <c r="AL23" s="44">
        <f>IF(Sheet1!AO98=MAX(Sheet1!AO$97:AO$106),0,1)</f>
        <v>1</v>
      </c>
      <c r="AM23" s="44">
        <f>IF(Sheet1!AP98=MAX(Sheet1!AP$97:AP$106),0,1)</f>
        <v>1</v>
      </c>
      <c r="AN23" s="44">
        <f>IF(Sheet1!AQ98=MAX(Sheet1!AQ$97:AQ$106),0,1)</f>
        <v>1</v>
      </c>
      <c r="AO23" s="44">
        <f>IF(Sheet1!AR98=MAX(Sheet1!AR$97:AR$106),0,1)</f>
        <v>1</v>
      </c>
      <c r="AP23" s="44">
        <f>IF(Sheet1!AS98=MAX(Sheet1!AS$97:AS$106),0,1)</f>
        <v>1</v>
      </c>
      <c r="AQ23" s="44">
        <f>IF(Sheet1!AT98=MAX(Sheet1!AT$97:AT$106),0,1)</f>
        <v>1</v>
      </c>
      <c r="AR23" s="44">
        <f>IF(Sheet1!AU98=MAX(Sheet1!AU$97:AU$106),0,1)</f>
        <v>1</v>
      </c>
      <c r="AS23" s="44">
        <f>IF(Sheet1!AV98=MAX(Sheet1!AV$97:AV$106),0,1)</f>
        <v>1</v>
      </c>
      <c r="AT23" s="44">
        <f>IF(Sheet1!AW98=MAX(Sheet1!AW$97:AW$106),0,1)</f>
        <v>1</v>
      </c>
      <c r="AU23" s="44">
        <f>IF(Sheet1!AX98=MAX(Sheet1!AX$97:AX$106),0,1)</f>
        <v>1</v>
      </c>
      <c r="AV23" s="44">
        <f>IF(Sheet1!AY98=MAX(Sheet1!AY$97:AY$106),0,1)</f>
        <v>1</v>
      </c>
      <c r="AW23" s="44">
        <f>IF(Sheet1!AZ98=MAX(Sheet1!AZ$97:AZ$106),0,1)</f>
        <v>1</v>
      </c>
      <c r="AX23" s="44">
        <f>IF(Sheet1!BA98=MAX(Sheet1!BA$97:BA$106),0,1)</f>
        <v>1</v>
      </c>
      <c r="AY23" s="44">
        <f>IF(Sheet1!BB98=MAX(Sheet1!BB$97:BB$106),0,1)</f>
        <v>1</v>
      </c>
      <c r="AZ23" s="44">
        <f>IF(Sheet1!BC98=MAX(Sheet1!BC$97:BC$106),0,1)</f>
        <v>1</v>
      </c>
      <c r="BA23" s="44">
        <f>IF(Sheet1!BD98=MAX(Sheet1!BD$97:BD$106),0,1)</f>
        <v>1</v>
      </c>
      <c r="BC23" s="13" t="s">
        <v>119</v>
      </c>
      <c r="BD23" s="22">
        <f>SUM(Sheet1!BQ97:BQ106)</f>
        <v>2659.3231653412695</v>
      </c>
      <c r="BE23" s="22">
        <f>SUM(Sheet1!BR97:BR106)</f>
        <v>2711.8315460799131</v>
      </c>
      <c r="BF23" s="22">
        <f>SUM(Sheet1!BS97:BS106)</f>
        <v>2795.7982143728354</v>
      </c>
      <c r="BG23" s="22">
        <f>SUM(Sheet1!BT97:BT106)</f>
        <v>2875.6166287749425</v>
      </c>
      <c r="BH23" s="22">
        <f>SUM(Sheet1!BU97:BU106)</f>
        <v>2875.6166287749425</v>
      </c>
      <c r="BI23" s="22">
        <f>SUM(Sheet1!BV97:BV106)</f>
        <v>2673.4789774113278</v>
      </c>
      <c r="BJ23" s="22">
        <f>SUM(Sheet1!BW97:BW106)</f>
        <v>2611.9395892081766</v>
      </c>
      <c r="BK23" s="22">
        <f>SUM(Sheet1!BX97:BX106)</f>
        <v>2660.3080626433139</v>
      </c>
      <c r="BL23" s="22">
        <f>SUM(Sheet1!BY97:BY106)</f>
        <v>2353.5459394057671</v>
      </c>
      <c r="BM23" s="22">
        <f>SUM(Sheet1!BZ97:BZ106)</f>
        <v>2037.9280870371267</v>
      </c>
      <c r="BN23" s="22">
        <f>SUM(Sheet1!CA97:CA106)</f>
        <v>1904.0154403083379</v>
      </c>
      <c r="BO23" s="22">
        <f>SUM(Sheet1!CB97:CB106)</f>
        <v>1852.8842464750933</v>
      </c>
      <c r="BP23" s="22">
        <f>SUM(Sheet1!CC97:CC106)</f>
        <v>2103.4154110357613</v>
      </c>
      <c r="BQ23" s="22">
        <f>SUM(Sheet1!CD97:CD106)</f>
        <v>1929.1887476216034</v>
      </c>
      <c r="BR23" s="22">
        <f>SUM(Sheet1!CE97:CE106)</f>
        <v>1777.572989217934</v>
      </c>
      <c r="BS23" s="22">
        <f>SUM(Sheet1!CF97:CF106)</f>
        <v>1822.4108562228612</v>
      </c>
      <c r="BT23" s="22">
        <f>SUM(Sheet1!CG97:CG106)</f>
        <v>1884.551198712006</v>
      </c>
      <c r="BU23" s="22">
        <f>SUM(Sheet1!CH97:CH106)</f>
        <v>1984.4431555837432</v>
      </c>
      <c r="BV23" s="22">
        <f>SUM(Sheet1!CI97:CI106)</f>
        <v>1932.7277006391178</v>
      </c>
      <c r="BW23" s="22">
        <f>SUM(Sheet1!CJ97:CJ106)</f>
        <v>1752.5999999999995</v>
      </c>
      <c r="BX23" s="22">
        <f>SUM(Sheet1!CK97:CK106)</f>
        <v>1804.3154549446253</v>
      </c>
      <c r="BY23" s="22">
        <f>SUM(Sheet1!CL97:CL106)</f>
        <v>1910.7010567400102</v>
      </c>
      <c r="BZ23" s="22">
        <f>SUM(Sheet1!CM97:CM106)</f>
        <v>2181.4810421037214</v>
      </c>
      <c r="CA23" s="22">
        <f>SUM(Sheet1!CN97:CN106)</f>
        <v>2388.7434980728885</v>
      </c>
    </row>
    <row r="24" spans="1:79" x14ac:dyDescent="0.35">
      <c r="A24" s="13" t="s">
        <v>36</v>
      </c>
      <c r="B24" s="13" t="s">
        <v>63</v>
      </c>
      <c r="C24" s="15">
        <f>Sheet1!BQ99-Sheet1!CR99</f>
        <v>55.199999999999989</v>
      </c>
      <c r="D24" s="15">
        <f>Sheet1!BR99-Sheet1!CS99</f>
        <v>0</v>
      </c>
      <c r="E24" s="15">
        <f>Sheet1!BS99-Sheet1!CT99</f>
        <v>0</v>
      </c>
      <c r="F24" s="15">
        <f>Sheet1!BT99-Sheet1!CU99</f>
        <v>113.6166287749424</v>
      </c>
      <c r="G24" s="15">
        <f>Sheet1!BU99-Sheet1!CV99</f>
        <v>24.245057701623381</v>
      </c>
      <c r="H24" s="15">
        <f>Sheet1!BV99-Sheet1!CW99</f>
        <v>0</v>
      </c>
      <c r="I24" s="15">
        <f>Sheet1!BW99-Sheet1!CX99</f>
        <v>0</v>
      </c>
      <c r="J24" s="15">
        <f>Sheet1!BX99-Sheet1!CY99</f>
        <v>0</v>
      </c>
      <c r="K24" s="15">
        <f>Sheet1!BY99-Sheet1!CZ99</f>
        <v>0</v>
      </c>
      <c r="L24" s="15">
        <f>Sheet1!BZ99-Sheet1!DA99</f>
        <v>0</v>
      </c>
      <c r="M24" s="15">
        <f>Sheet1!CA99-Sheet1!DB99</f>
        <v>0</v>
      </c>
      <c r="N24" s="15">
        <f>Sheet1!CB99-Sheet1!DC99</f>
        <v>0</v>
      </c>
      <c r="O24" s="15">
        <f>Sheet1!CC99-Sheet1!DD99</f>
        <v>0</v>
      </c>
      <c r="P24" s="15">
        <f>Sheet1!CD99-Sheet1!DE99</f>
        <v>0</v>
      </c>
      <c r="Q24" s="15">
        <f>Sheet1!CE99-Sheet1!DF99</f>
        <v>0</v>
      </c>
      <c r="R24" s="15">
        <f>Sheet1!CF99-Sheet1!DG99</f>
        <v>0</v>
      </c>
      <c r="S24" s="15">
        <f>Sheet1!CG99-Sheet1!DH99</f>
        <v>0</v>
      </c>
      <c r="T24" s="15">
        <f>Sheet1!CH99-Sheet1!DI99</f>
        <v>0</v>
      </c>
      <c r="U24" s="15">
        <f>Sheet1!CI99-Sheet1!DJ99</f>
        <v>0</v>
      </c>
      <c r="V24" s="15">
        <f>Sheet1!CJ99-Sheet1!DK99</f>
        <v>0</v>
      </c>
      <c r="W24" s="15">
        <f>Sheet1!CK99-Sheet1!DL99</f>
        <v>0</v>
      </c>
      <c r="X24" s="15">
        <f>Sheet1!CL99-Sheet1!DM99</f>
        <v>0</v>
      </c>
      <c r="Y24" s="15">
        <f>Sheet1!CM99-Sheet1!DN99</f>
        <v>0</v>
      </c>
      <c r="Z24" s="15">
        <f>Sheet1!CN99-Sheet1!DO99</f>
        <v>0</v>
      </c>
      <c r="AB24" s="13" t="s">
        <v>36</v>
      </c>
      <c r="AC24" s="13" t="s">
        <v>63</v>
      </c>
      <c r="AD24" s="44">
        <f>IF(Sheet1!AG99=MAX(Sheet1!AG$97:AG$106),0,1)</f>
        <v>1</v>
      </c>
      <c r="AE24" s="44">
        <f>IF(Sheet1!AH99=MAX(Sheet1!AH$97:AH$106),0,1)</f>
        <v>1</v>
      </c>
      <c r="AF24" s="44">
        <f>IF(Sheet1!AI99=MAX(Sheet1!AI$97:AI$106),0,1)</f>
        <v>1</v>
      </c>
      <c r="AG24" s="44">
        <f>IF(Sheet1!AJ99=MAX(Sheet1!AJ$97:AJ$106),0,1)</f>
        <v>1</v>
      </c>
      <c r="AH24" s="44">
        <f>IF(Sheet1!AK99=MAX(Sheet1!AK$97:AK$106),0,1)</f>
        <v>1</v>
      </c>
      <c r="AI24" s="44">
        <f>IF(Sheet1!AL99=MAX(Sheet1!AL$97:AL$106),0,1)</f>
        <v>1</v>
      </c>
      <c r="AJ24" s="44">
        <f>IF(Sheet1!AM99=MAX(Sheet1!AM$97:AM$106),0,1)</f>
        <v>1</v>
      </c>
      <c r="AK24" s="44">
        <f>IF(Sheet1!AN99=MAX(Sheet1!AN$97:AN$106),0,1)</f>
        <v>1</v>
      </c>
      <c r="AL24" s="44">
        <f>IF(Sheet1!AO99=MAX(Sheet1!AO$97:AO$106),0,1)</f>
        <v>1</v>
      </c>
      <c r="AM24" s="44">
        <f>IF(Sheet1!AP99=MAX(Sheet1!AP$97:AP$106),0,1)</f>
        <v>1</v>
      </c>
      <c r="AN24" s="44">
        <f>IF(Sheet1!AQ99=MAX(Sheet1!AQ$97:AQ$106),0,1)</f>
        <v>1</v>
      </c>
      <c r="AO24" s="44">
        <f>IF(Sheet1!AR99=MAX(Sheet1!AR$97:AR$106),0,1)</f>
        <v>1</v>
      </c>
      <c r="AP24" s="44">
        <f>IF(Sheet1!AS99=MAX(Sheet1!AS$97:AS$106),0,1)</f>
        <v>1</v>
      </c>
      <c r="AQ24" s="44">
        <f>IF(Sheet1!AT99=MAX(Sheet1!AT$97:AT$106),0,1)</f>
        <v>1</v>
      </c>
      <c r="AR24" s="44">
        <f>IF(Sheet1!AU99=MAX(Sheet1!AU$97:AU$106),0,1)</f>
        <v>1</v>
      </c>
      <c r="AS24" s="44">
        <f>IF(Sheet1!AV99=MAX(Sheet1!AV$97:AV$106),0,1)</f>
        <v>1</v>
      </c>
      <c r="AT24" s="44">
        <f>IF(Sheet1!AW99=MAX(Sheet1!AW$97:AW$106),0,1)</f>
        <v>1</v>
      </c>
      <c r="AU24" s="44">
        <f>IF(Sheet1!AX99=MAX(Sheet1!AX$97:AX$106),0,1)</f>
        <v>1</v>
      </c>
      <c r="AV24" s="44">
        <f>IF(Sheet1!AY99=MAX(Sheet1!AY$97:AY$106),0,1)</f>
        <v>1</v>
      </c>
      <c r="AW24" s="44">
        <f>IF(Sheet1!AZ99=MAX(Sheet1!AZ$97:AZ$106),0,1)</f>
        <v>1</v>
      </c>
      <c r="AX24" s="44">
        <f>IF(Sheet1!BA99=MAX(Sheet1!BA$97:BA$106),0,1)</f>
        <v>1</v>
      </c>
      <c r="AY24" s="44">
        <f>IF(Sheet1!BB99=MAX(Sheet1!BB$97:BB$106),0,1)</f>
        <v>1</v>
      </c>
      <c r="AZ24" s="44">
        <f>IF(Sheet1!BC99=MAX(Sheet1!BC$97:BC$106),0,1)</f>
        <v>1</v>
      </c>
      <c r="BA24" s="44">
        <f>IF(Sheet1!BD99=MAX(Sheet1!BD$97:BD$106),0,1)</f>
        <v>1</v>
      </c>
      <c r="BC24" s="13" t="s">
        <v>120</v>
      </c>
      <c r="BD24" s="22">
        <f>SUMPRODUCT(Sheet1!BQ97:BQ106,Sheet5!AD22:AD31)</f>
        <v>2625.1231653412697</v>
      </c>
      <c r="BE24" s="22">
        <f>SUMPRODUCT(Sheet1!BR97:BR106,Sheet5!AE22:AE31)</f>
        <v>2596.6315460799133</v>
      </c>
      <c r="BF24" s="22">
        <f>SUMPRODUCT(Sheet1!BS97:BS106,Sheet5!AF22:AF31)</f>
        <v>2560.5982143728352</v>
      </c>
      <c r="BG24" s="22">
        <f>SUMPRODUCT(Sheet1!BT97:BT106,Sheet5!AG22:AG31)</f>
        <v>2760.4166287749422</v>
      </c>
      <c r="BH24" s="22">
        <f>SUMPRODUCT(Sheet1!BU97:BU106,Sheet5!AH22:AH31)</f>
        <v>2645.6954317674613</v>
      </c>
      <c r="BI24" s="22">
        <f>SUMPRODUCT(Sheet1!BV97:BV106,Sheet5!AI22:AI31)</f>
        <v>2465.278977411328</v>
      </c>
      <c r="BJ24" s="22">
        <f>SUMPRODUCT(Sheet1!BW97:BW106,Sheet5!AJ22:AJ31)</f>
        <v>2523.7395892081768</v>
      </c>
      <c r="BK24" s="22">
        <f>SUMPRODUCT(Sheet1!BX97:BX106,Sheet5!AK22:AK31)</f>
        <v>2626.108062643314</v>
      </c>
      <c r="BL24" s="22">
        <f>SUMPRODUCT(Sheet1!BY97:BY106,Sheet5!AL22:AL31)</f>
        <v>2319.3459394057672</v>
      </c>
      <c r="BM24" s="22">
        <f>SUMPRODUCT(Sheet1!BZ97:BZ106,Sheet5!AM22:AM31)</f>
        <v>2003.7280870371269</v>
      </c>
      <c r="BN24" s="22">
        <f>SUMPRODUCT(Sheet1!CA97:CA106,Sheet5!AN22:AN31)</f>
        <v>1749.8154403083381</v>
      </c>
      <c r="BO24" s="22">
        <f>SUMPRODUCT(Sheet1!CB97:CB106,Sheet5!AO22:AO31)</f>
        <v>1818.6842464750935</v>
      </c>
      <c r="BP24" s="22">
        <f>SUMPRODUCT(Sheet1!CC97:CC106,Sheet5!AP22:AP31)</f>
        <v>2069.2154110357615</v>
      </c>
      <c r="BQ24" s="22">
        <f>SUMPRODUCT(Sheet1!CD97:CD106,Sheet5!AQ22:AQ31)</f>
        <v>1840.9887476216036</v>
      </c>
      <c r="BR24" s="22">
        <f>SUMPRODUCT(Sheet1!CE97:CE106,Sheet5!AR22:AR31)</f>
        <v>1569.3729892179344</v>
      </c>
      <c r="BS24" s="22">
        <f>SUMPRODUCT(Sheet1!CF97:CF106,Sheet5!AS22:AS31)</f>
        <v>1734.2108562228614</v>
      </c>
      <c r="BT24" s="22">
        <f>SUMPRODUCT(Sheet1!CG97:CG106,Sheet5!AT22:AT31)</f>
        <v>1676.3511987120064</v>
      </c>
      <c r="BU24" s="22">
        <f>SUMPRODUCT(Sheet1!CH97:CH106,Sheet5!AU22:AU31)</f>
        <v>1830.2431555837436</v>
      </c>
      <c r="BV24" s="22">
        <f>SUMPRODUCT(Sheet1!CI97:CI106,Sheet5!AV22:AV31)</f>
        <v>1898.5277006391179</v>
      </c>
      <c r="BW24" s="22">
        <f>SUMPRODUCT(Sheet1!CJ97:CJ106,Sheet5!AW22:AW31)</f>
        <v>1718.3999999999996</v>
      </c>
      <c r="BX24" s="22">
        <f>SUMPRODUCT(Sheet1!CK97:CK106,Sheet5!AX22:AX31)</f>
        <v>1770.1154549446255</v>
      </c>
      <c r="BY24" s="22">
        <f>SUMPRODUCT(Sheet1!CL97:CL106,Sheet5!AY22:AY31)</f>
        <v>1822.5010567400104</v>
      </c>
      <c r="BZ24" s="22">
        <f>SUMPRODUCT(Sheet1!CM97:CM106,Sheet5!AZ22:AZ31)</f>
        <v>1973.281042103722</v>
      </c>
      <c r="CA24" s="22">
        <f>SUMPRODUCT(Sheet1!CN97:CN106,Sheet5!BA22:BA31)</f>
        <v>2180.5434980728887</v>
      </c>
    </row>
    <row r="25" spans="1:79" x14ac:dyDescent="0.35">
      <c r="A25" s="13" t="s">
        <v>37</v>
      </c>
      <c r="B25" s="13" t="s">
        <v>64</v>
      </c>
      <c r="C25" s="15">
        <f>Sheet1!BQ100-Sheet1!CR100</f>
        <v>0</v>
      </c>
      <c r="D25" s="15">
        <f>Sheet1!BR100-Sheet1!CS100</f>
        <v>0</v>
      </c>
      <c r="E25" s="15">
        <f>Sheet1!BS100-Sheet1!CT100</f>
        <v>0</v>
      </c>
      <c r="F25" s="15">
        <f>Sheet1!BT100-Sheet1!CU100</f>
        <v>0</v>
      </c>
      <c r="G25" s="15">
        <f>Sheet1!BU100-Sheet1!CV100</f>
        <v>0</v>
      </c>
      <c r="H25" s="15">
        <f>Sheet1!BV100-Sheet1!CW100</f>
        <v>0</v>
      </c>
      <c r="I25" s="15">
        <f>Sheet1!BW100-Sheet1!CX100</f>
        <v>0</v>
      </c>
      <c r="J25" s="15">
        <f>Sheet1!BX100-Sheet1!CY100</f>
        <v>0</v>
      </c>
      <c r="K25" s="15">
        <f>Sheet1!BY100-Sheet1!CZ100</f>
        <v>0</v>
      </c>
      <c r="L25" s="15">
        <f>Sheet1!BZ100-Sheet1!DA100</f>
        <v>0</v>
      </c>
      <c r="M25" s="15">
        <f>Sheet1!CA100-Sheet1!DB100</f>
        <v>0</v>
      </c>
      <c r="N25" s="15">
        <f>Sheet1!CB100-Sheet1!DC100</f>
        <v>0</v>
      </c>
      <c r="O25" s="15">
        <f>Sheet1!CC100-Sheet1!DD100</f>
        <v>0</v>
      </c>
      <c r="P25" s="15">
        <f>Sheet1!CD100-Sheet1!DE100</f>
        <v>0</v>
      </c>
      <c r="Q25" s="15">
        <f>Sheet1!CE100-Sheet1!DF100</f>
        <v>0</v>
      </c>
      <c r="R25" s="15">
        <f>Sheet1!CF100-Sheet1!DG100</f>
        <v>0</v>
      </c>
      <c r="S25" s="15">
        <f>Sheet1!CG100-Sheet1!DH100</f>
        <v>0</v>
      </c>
      <c r="T25" s="15">
        <f>Sheet1!CH100-Sheet1!DI100</f>
        <v>0</v>
      </c>
      <c r="U25" s="15">
        <f>Sheet1!CI100-Sheet1!DJ100</f>
        <v>0</v>
      </c>
      <c r="V25" s="15">
        <f>Sheet1!CJ100-Sheet1!DK100</f>
        <v>0</v>
      </c>
      <c r="W25" s="15">
        <f>Sheet1!CK100-Sheet1!DL100</f>
        <v>0</v>
      </c>
      <c r="X25" s="15">
        <f>Sheet1!CL100-Sheet1!DM100</f>
        <v>0</v>
      </c>
      <c r="Y25" s="15">
        <f>Sheet1!CM100-Sheet1!DN100</f>
        <v>0</v>
      </c>
      <c r="Z25" s="15">
        <f>Sheet1!CN100-Sheet1!DO100</f>
        <v>0</v>
      </c>
      <c r="AB25" s="13" t="s">
        <v>37</v>
      </c>
      <c r="AC25" s="13" t="s">
        <v>64</v>
      </c>
      <c r="AD25" s="44">
        <f>IF(Sheet1!AG100=MAX(Sheet1!AG$97:AG$106),0,1)</f>
        <v>1</v>
      </c>
      <c r="AE25" s="44">
        <f>IF(Sheet1!AH100=MAX(Sheet1!AH$97:AH$106),0,1)</f>
        <v>1</v>
      </c>
      <c r="AF25" s="44">
        <f>IF(Sheet1!AI100=MAX(Sheet1!AI$97:AI$106),0,1)</f>
        <v>1</v>
      </c>
      <c r="AG25" s="44">
        <f>IF(Sheet1!AJ100=MAX(Sheet1!AJ$97:AJ$106),0,1)</f>
        <v>1</v>
      </c>
      <c r="AH25" s="44">
        <f>IF(Sheet1!AK100=MAX(Sheet1!AK$97:AK$106),0,1)</f>
        <v>1</v>
      </c>
      <c r="AI25" s="44">
        <f>IF(Sheet1!AL100=MAX(Sheet1!AL$97:AL$106),0,1)</f>
        <v>1</v>
      </c>
      <c r="AJ25" s="44">
        <f>IF(Sheet1!AM100=MAX(Sheet1!AM$97:AM$106),0,1)</f>
        <v>1</v>
      </c>
      <c r="AK25" s="44">
        <f>IF(Sheet1!AN100=MAX(Sheet1!AN$97:AN$106),0,1)</f>
        <v>1</v>
      </c>
      <c r="AL25" s="44">
        <f>IF(Sheet1!AO100=MAX(Sheet1!AO$97:AO$106),0,1)</f>
        <v>1</v>
      </c>
      <c r="AM25" s="44">
        <f>IF(Sheet1!AP100=MAX(Sheet1!AP$97:AP$106),0,1)</f>
        <v>1</v>
      </c>
      <c r="AN25" s="44">
        <f>IF(Sheet1!AQ100=MAX(Sheet1!AQ$97:AQ$106),0,1)</f>
        <v>1</v>
      </c>
      <c r="AO25" s="44">
        <f>IF(Sheet1!AR100=MAX(Sheet1!AR$97:AR$106),0,1)</f>
        <v>1</v>
      </c>
      <c r="AP25" s="44">
        <f>IF(Sheet1!AS100=MAX(Sheet1!AS$97:AS$106),0,1)</f>
        <v>1</v>
      </c>
      <c r="AQ25" s="44">
        <f>IF(Sheet1!AT100=MAX(Sheet1!AT$97:AT$106),0,1)</f>
        <v>1</v>
      </c>
      <c r="AR25" s="44">
        <f>IF(Sheet1!AU100=MAX(Sheet1!AU$97:AU$106),0,1)</f>
        <v>1</v>
      </c>
      <c r="AS25" s="44">
        <f>IF(Sheet1!AV100=MAX(Sheet1!AV$97:AV$106),0,1)</f>
        <v>1</v>
      </c>
      <c r="AT25" s="44">
        <f>IF(Sheet1!AW100=MAX(Sheet1!AW$97:AW$106),0,1)</f>
        <v>1</v>
      </c>
      <c r="AU25" s="44">
        <f>IF(Sheet1!AX100=MAX(Sheet1!AX$97:AX$106),0,1)</f>
        <v>1</v>
      </c>
      <c r="AV25" s="44">
        <f>IF(Sheet1!AY100=MAX(Sheet1!AY$97:AY$106),0,1)</f>
        <v>1</v>
      </c>
      <c r="AW25" s="44">
        <f>IF(Sheet1!AZ100=MAX(Sheet1!AZ$97:AZ$106),0,1)</f>
        <v>1</v>
      </c>
      <c r="AX25" s="44">
        <f>IF(Sheet1!BA100=MAX(Sheet1!BA$97:BA$106),0,1)</f>
        <v>1</v>
      </c>
      <c r="AY25" s="44">
        <f>IF(Sheet1!BB100=MAX(Sheet1!BB$97:BB$106),0,1)</f>
        <v>1</v>
      </c>
      <c r="AZ25" s="44">
        <f>IF(Sheet1!BC100=MAX(Sheet1!BC$97:BC$106),0,1)</f>
        <v>1</v>
      </c>
      <c r="BA25" s="44">
        <f>IF(Sheet1!BD100=MAX(Sheet1!BD$97:BD$106),0,1)</f>
        <v>1</v>
      </c>
      <c r="BC25" s="13" t="s">
        <v>121</v>
      </c>
      <c r="BD25" s="47">
        <f>SUM(Sheet1!CR97:CR106)</f>
        <v>1176</v>
      </c>
      <c r="BE25" s="47">
        <f>SUM(Sheet1!CS97:CS106)</f>
        <v>1176</v>
      </c>
      <c r="BF25" s="47">
        <f>SUM(Sheet1!CT97:CT106)</f>
        <v>1209.7982143728354</v>
      </c>
      <c r="BG25" s="47">
        <f>SUM(Sheet1!CU97:CU106)</f>
        <v>1176</v>
      </c>
      <c r="BH25" s="47">
        <f>SUM(Sheet1!CV97:CV106)</f>
        <v>1176.0000000000002</v>
      </c>
      <c r="BI25" s="47">
        <f>SUM(Sheet1!CW97:CW106)</f>
        <v>1176</v>
      </c>
      <c r="BJ25" s="47">
        <f>SUM(Sheet1!CX97:CX106)</f>
        <v>1176.0000000000002</v>
      </c>
      <c r="BK25" s="47">
        <f>SUM(Sheet1!CY97:CY106)</f>
        <v>1176.0000000000002</v>
      </c>
      <c r="BL25" s="47">
        <f>SUM(Sheet1!CZ97:CZ106)</f>
        <v>1176.0000000000002</v>
      </c>
      <c r="BM25" s="47">
        <f>SUM(Sheet1!DA97:DA106)</f>
        <v>1176.0000000000002</v>
      </c>
      <c r="BN25" s="47">
        <f>SUM(Sheet1!DB97:DB106)</f>
        <v>1175.9999999999998</v>
      </c>
      <c r="BO25" s="47">
        <f>SUM(Sheet1!DC97:DC106)</f>
        <v>1176.0000000000002</v>
      </c>
      <c r="BP25" s="47">
        <f>SUM(Sheet1!DD97:DD106)</f>
        <v>1176.0000000000002</v>
      </c>
      <c r="BQ25" s="47">
        <f>SUM(Sheet1!DE97:DE106)</f>
        <v>1176.0000000000002</v>
      </c>
      <c r="BR25" s="47">
        <f>SUM(Sheet1!DF97:DF106)</f>
        <v>1176</v>
      </c>
      <c r="BS25" s="47">
        <f>SUM(Sheet1!DG97:DG106)</f>
        <v>1176</v>
      </c>
      <c r="BT25" s="47">
        <f>SUM(Sheet1!DH97:DH106)</f>
        <v>1176</v>
      </c>
      <c r="BU25" s="47">
        <f>SUM(Sheet1!DI97:DI106)</f>
        <v>1176</v>
      </c>
      <c r="BV25" s="47">
        <f>SUM(Sheet1!DJ97:DJ106)</f>
        <v>1176</v>
      </c>
      <c r="BW25" s="47">
        <f>SUM(Sheet1!DK97:DK106)</f>
        <v>1176.0000000000002</v>
      </c>
      <c r="BX25" s="47">
        <f>SUM(Sheet1!DL97:DL106)</f>
        <v>1176.0000000000002</v>
      </c>
      <c r="BY25" s="47">
        <f>SUM(Sheet1!DM97:DM106)</f>
        <v>1176.0000000000002</v>
      </c>
      <c r="BZ25" s="47">
        <f>SUM(Sheet1!DN97:DN106)</f>
        <v>1176</v>
      </c>
      <c r="CA25" s="47">
        <f>SUM(Sheet1!DO97:DO106)</f>
        <v>1176.0000000000002</v>
      </c>
    </row>
    <row r="26" spans="1:79" x14ac:dyDescent="0.35">
      <c r="A26" s="13" t="s">
        <v>38</v>
      </c>
      <c r="B26" s="13" t="s">
        <v>65</v>
      </c>
      <c r="C26" s="15">
        <f>Sheet1!BQ101-Sheet1!CR101</f>
        <v>0</v>
      </c>
      <c r="D26" s="15">
        <f>Sheet1!BR101-Sheet1!CS101</f>
        <v>0</v>
      </c>
      <c r="E26" s="15">
        <f>Sheet1!BS101-Sheet1!CT101</f>
        <v>0</v>
      </c>
      <c r="F26" s="15">
        <f>Sheet1!BT101-Sheet1!CU101</f>
        <v>0</v>
      </c>
      <c r="G26" s="15">
        <f>Sheet1!BU101-Sheet1!CV101</f>
        <v>0</v>
      </c>
      <c r="H26" s="15">
        <f>Sheet1!BV101-Sheet1!CW101</f>
        <v>0</v>
      </c>
      <c r="I26" s="15">
        <f>Sheet1!BW101-Sheet1!CX101</f>
        <v>0</v>
      </c>
      <c r="J26" s="15">
        <f>Sheet1!BX101-Sheet1!CY101</f>
        <v>0</v>
      </c>
      <c r="K26" s="15">
        <f>Sheet1!BY101-Sheet1!CZ101</f>
        <v>0</v>
      </c>
      <c r="L26" s="15">
        <f>Sheet1!BZ101-Sheet1!DA101</f>
        <v>0</v>
      </c>
      <c r="M26" s="15">
        <f>Sheet1!CA101-Sheet1!DB101</f>
        <v>0</v>
      </c>
      <c r="N26" s="15">
        <f>Sheet1!CB101-Sheet1!DC101</f>
        <v>0</v>
      </c>
      <c r="O26" s="15">
        <f>Sheet1!CC101-Sheet1!DD101</f>
        <v>0</v>
      </c>
      <c r="P26" s="15">
        <f>Sheet1!CD101-Sheet1!DE101</f>
        <v>0</v>
      </c>
      <c r="Q26" s="15">
        <f>Sheet1!CE101-Sheet1!DF101</f>
        <v>0</v>
      </c>
      <c r="R26" s="15">
        <f>Sheet1!CF101-Sheet1!DG101</f>
        <v>0</v>
      </c>
      <c r="S26" s="15">
        <f>Sheet1!CG101-Sheet1!DH101</f>
        <v>0</v>
      </c>
      <c r="T26" s="15">
        <f>Sheet1!CH101-Sheet1!DI101</f>
        <v>0</v>
      </c>
      <c r="U26" s="15">
        <f>Sheet1!CI101-Sheet1!DJ101</f>
        <v>0</v>
      </c>
      <c r="V26" s="15">
        <f>Sheet1!CJ101-Sheet1!DK101</f>
        <v>0</v>
      </c>
      <c r="W26" s="15">
        <f>Sheet1!CK101-Sheet1!DL101</f>
        <v>0</v>
      </c>
      <c r="X26" s="15">
        <f>Sheet1!CL101-Sheet1!DM101</f>
        <v>0</v>
      </c>
      <c r="Y26" s="15">
        <f>Sheet1!CM101-Sheet1!DN101</f>
        <v>0</v>
      </c>
      <c r="Z26" s="15">
        <f>Sheet1!CN101-Sheet1!DO101</f>
        <v>0</v>
      </c>
      <c r="AB26" s="13" t="s">
        <v>38</v>
      </c>
      <c r="AC26" s="13" t="s">
        <v>65</v>
      </c>
      <c r="AD26" s="44">
        <f>IF(Sheet1!AG101=MAX(Sheet1!AG$97:AG$106),0,1)</f>
        <v>1</v>
      </c>
      <c r="AE26" s="44">
        <f>IF(Sheet1!AH101=MAX(Sheet1!AH$97:AH$106),0,1)</f>
        <v>1</v>
      </c>
      <c r="AF26" s="44">
        <f>IF(Sheet1!AI101=MAX(Sheet1!AI$97:AI$106),0,1)</f>
        <v>1</v>
      </c>
      <c r="AG26" s="44">
        <f>IF(Sheet1!AJ101=MAX(Sheet1!AJ$97:AJ$106),0,1)</f>
        <v>1</v>
      </c>
      <c r="AH26" s="44">
        <f>IF(Sheet1!AK101=MAX(Sheet1!AK$97:AK$106),0,1)</f>
        <v>1</v>
      </c>
      <c r="AI26" s="44">
        <f>IF(Sheet1!AL101=MAX(Sheet1!AL$97:AL$106),0,1)</f>
        <v>1</v>
      </c>
      <c r="AJ26" s="44">
        <f>IF(Sheet1!AM101=MAX(Sheet1!AM$97:AM$106),0,1)</f>
        <v>1</v>
      </c>
      <c r="AK26" s="44">
        <f>IF(Sheet1!AN101=MAX(Sheet1!AN$97:AN$106),0,1)</f>
        <v>1</v>
      </c>
      <c r="AL26" s="44">
        <f>IF(Sheet1!AO101=MAX(Sheet1!AO$97:AO$106),0,1)</f>
        <v>1</v>
      </c>
      <c r="AM26" s="44">
        <f>IF(Sheet1!AP101=MAX(Sheet1!AP$97:AP$106),0,1)</f>
        <v>1</v>
      </c>
      <c r="AN26" s="44">
        <f>IF(Sheet1!AQ101=MAX(Sheet1!AQ$97:AQ$106),0,1)</f>
        <v>1</v>
      </c>
      <c r="AO26" s="44">
        <f>IF(Sheet1!AR101=MAX(Sheet1!AR$97:AR$106),0,1)</f>
        <v>1</v>
      </c>
      <c r="AP26" s="44">
        <f>IF(Sheet1!AS101=MAX(Sheet1!AS$97:AS$106),0,1)</f>
        <v>1</v>
      </c>
      <c r="AQ26" s="44">
        <f>IF(Sheet1!AT101=MAX(Sheet1!AT$97:AT$106),0,1)</f>
        <v>1</v>
      </c>
      <c r="AR26" s="44">
        <f>IF(Sheet1!AU101=MAX(Sheet1!AU$97:AU$106),0,1)</f>
        <v>1</v>
      </c>
      <c r="AS26" s="44">
        <f>IF(Sheet1!AV101=MAX(Sheet1!AV$97:AV$106),0,1)</f>
        <v>1</v>
      </c>
      <c r="AT26" s="44">
        <f>IF(Sheet1!AW101=MAX(Sheet1!AW$97:AW$106),0,1)</f>
        <v>1</v>
      </c>
      <c r="AU26" s="44">
        <f>IF(Sheet1!AX101=MAX(Sheet1!AX$97:AX$106),0,1)</f>
        <v>1</v>
      </c>
      <c r="AV26" s="44">
        <f>IF(Sheet1!AY101=MAX(Sheet1!AY$97:AY$106),0,1)</f>
        <v>1</v>
      </c>
      <c r="AW26" s="44">
        <f>IF(Sheet1!AZ101=MAX(Sheet1!AZ$97:AZ$106),0,1)</f>
        <v>1</v>
      </c>
      <c r="AX26" s="44">
        <f>IF(Sheet1!BA101=MAX(Sheet1!BA$97:BA$106),0,1)</f>
        <v>1</v>
      </c>
      <c r="AY26" s="44">
        <f>IF(Sheet1!BB101=MAX(Sheet1!BB$97:BB$106),0,1)</f>
        <v>1</v>
      </c>
      <c r="AZ26" s="44">
        <f>IF(Sheet1!BC101=MAX(Sheet1!BC$97:BC$106),0,1)</f>
        <v>1</v>
      </c>
      <c r="BA26" s="44">
        <f>IF(Sheet1!BD101=MAX(Sheet1!BD$97:BD$106),0,1)</f>
        <v>1</v>
      </c>
      <c r="BC26" s="13" t="s">
        <v>122</v>
      </c>
      <c r="BD26" s="47">
        <f>SUMPRODUCT(Sheet1!CR97:CR106,Sheet5!AD22:AD31)</f>
        <v>1141.8</v>
      </c>
      <c r="BE26" s="47">
        <f>SUMPRODUCT(Sheet1!CS97:CS106,Sheet5!AE22:AE31)</f>
        <v>1060.8</v>
      </c>
      <c r="BF26" s="47">
        <f>SUMPRODUCT(Sheet1!CT97:CT106,Sheet5!AF22:AF31)</f>
        <v>974.5982143728354</v>
      </c>
      <c r="BG26" s="47">
        <f>SUMPRODUCT(Sheet1!CU97:CU106,Sheet5!AG22:AG31)</f>
        <v>1060.8</v>
      </c>
      <c r="BH26" s="47">
        <f>SUMPRODUCT(Sheet1!CV97:CV106,Sheet5!AH22:AH31)</f>
        <v>946.07880299251872</v>
      </c>
      <c r="BI26" s="47">
        <f>SUMPRODUCT(Sheet1!CW97:CW106,Sheet5!AI22:AI31)</f>
        <v>967.80000000000018</v>
      </c>
      <c r="BJ26" s="47">
        <f>SUMPRODUCT(Sheet1!CX97:CX106,Sheet5!AJ22:AJ31)</f>
        <v>1087.8000000000002</v>
      </c>
      <c r="BK26" s="47">
        <f>SUMPRODUCT(Sheet1!CY97:CY106,Sheet5!AK22:AK31)</f>
        <v>1141.8000000000002</v>
      </c>
      <c r="BL26" s="47">
        <f>SUMPRODUCT(Sheet1!CZ97:CZ106,Sheet5!AL22:AL31)</f>
        <v>1141.8000000000002</v>
      </c>
      <c r="BM26" s="47">
        <f>SUMPRODUCT(Sheet1!DA97:DA106,Sheet5!AM22:AM31)</f>
        <v>1141.8000000000002</v>
      </c>
      <c r="BN26" s="47">
        <f>SUMPRODUCT(Sheet1!DB97:DB106,Sheet5!AN22:AN31)</f>
        <v>1021.8000000000002</v>
      </c>
      <c r="BO26" s="47">
        <f>SUMPRODUCT(Sheet1!DC97:DC106,Sheet5!AO22:AO31)</f>
        <v>1141.8000000000002</v>
      </c>
      <c r="BP26" s="47">
        <f>SUMPRODUCT(Sheet1!DD97:DD106,Sheet5!AP22:AP31)</f>
        <v>1141.8000000000002</v>
      </c>
      <c r="BQ26" s="47">
        <f>SUMPRODUCT(Sheet1!DE97:DE106,Sheet5!AQ22:AQ31)</f>
        <v>1087.8000000000002</v>
      </c>
      <c r="BR26" s="47">
        <f>SUMPRODUCT(Sheet1!DF97:DF106,Sheet5!AR22:AR31)</f>
        <v>967.80000000000018</v>
      </c>
      <c r="BS26" s="47">
        <f>SUMPRODUCT(Sheet1!DG97:DG106,Sheet5!AS22:AS31)</f>
        <v>1087.8000000000002</v>
      </c>
      <c r="BT26" s="47">
        <f>SUMPRODUCT(Sheet1!DH97:DH106,Sheet5!AT22:AT31)</f>
        <v>967.80000000000018</v>
      </c>
      <c r="BU26" s="47">
        <f>SUMPRODUCT(Sheet1!DI97:DI106,Sheet5!AU22:AU31)</f>
        <v>1021.8000000000002</v>
      </c>
      <c r="BV26" s="47">
        <f>SUMPRODUCT(Sheet1!DJ97:DJ106,Sheet5!AV22:AV31)</f>
        <v>1141.8000000000002</v>
      </c>
      <c r="BW26" s="47">
        <f>SUMPRODUCT(Sheet1!DK97:DK106,Sheet5!AW22:AW31)</f>
        <v>1141.8000000000002</v>
      </c>
      <c r="BX26" s="47">
        <f>SUMPRODUCT(Sheet1!DL97:DL106,Sheet5!AX22:AX31)</f>
        <v>1141.8000000000002</v>
      </c>
      <c r="BY26" s="47">
        <f>SUMPRODUCT(Sheet1!DM97:DM106,Sheet5!AY22:AY31)</f>
        <v>1087.8000000000004</v>
      </c>
      <c r="BZ26" s="47">
        <f>SUMPRODUCT(Sheet1!DN97:DN106,Sheet5!AZ22:AZ31)</f>
        <v>967.80000000000018</v>
      </c>
      <c r="CA26" s="47">
        <f>SUMPRODUCT(Sheet1!DO97:DO106,Sheet5!BA22:BA31)</f>
        <v>967.80000000000018</v>
      </c>
    </row>
    <row r="27" spans="1:79" x14ac:dyDescent="0.35">
      <c r="A27" s="13" t="s">
        <v>39</v>
      </c>
      <c r="B27" s="13" t="s">
        <v>66</v>
      </c>
      <c r="C27" s="15">
        <f>Sheet1!BQ102-Sheet1!CR102</f>
        <v>432.12316534126944</v>
      </c>
      <c r="D27" s="15">
        <f>Sheet1!BR102-Sheet1!CS102</f>
        <v>626</v>
      </c>
      <c r="E27" s="15">
        <f>Sheet1!BS102-Sheet1!CT102</f>
        <v>626</v>
      </c>
      <c r="F27" s="15">
        <f>Sheet1!BT102-Sheet1!CU102</f>
        <v>626</v>
      </c>
      <c r="G27" s="15">
        <f>Sheet1!BU102-Sheet1!CV102</f>
        <v>630.91521197007478</v>
      </c>
      <c r="H27" s="15">
        <f>Sheet1!BV102-Sheet1!CW102</f>
        <v>537.47897741132783</v>
      </c>
      <c r="I27" s="15">
        <f>Sheet1!BW102-Sheet1!CX102</f>
        <v>475.93958920817664</v>
      </c>
      <c r="J27" s="15">
        <f>Sheet1!BX102-Sheet1!CY102</f>
        <v>524.30806264331386</v>
      </c>
      <c r="K27" s="15">
        <f>Sheet1!BY102-Sheet1!CZ102</f>
        <v>402.61785236864029</v>
      </c>
      <c r="L27" s="15">
        <f>Sheet1!BZ102-Sheet1!DA102</f>
        <v>387.00000000000006</v>
      </c>
      <c r="M27" s="15">
        <f>Sheet1!CA102-Sheet1!DB102</f>
        <v>387.00000000000028</v>
      </c>
      <c r="N27" s="15">
        <f>Sheet1!CB102-Sheet1!DC102</f>
        <v>387.00000000000006</v>
      </c>
      <c r="O27" s="15">
        <f>Sheet1!CC102-Sheet1!DD102</f>
        <v>387.00000000000006</v>
      </c>
      <c r="P27" s="15">
        <f>Sheet1!CD102-Sheet1!DE102</f>
        <v>387.00000000000006</v>
      </c>
      <c r="Q27" s="15">
        <f>Sheet1!CE102-Sheet1!DF102</f>
        <v>235.38424159633092</v>
      </c>
      <c r="R27" s="15">
        <f>Sheet1!CF102-Sheet1!DG102</f>
        <v>387.00000000000017</v>
      </c>
      <c r="S27" s="15">
        <f>Sheet1!CG102-Sheet1!DH102</f>
        <v>387.00000000000017</v>
      </c>
      <c r="T27" s="15">
        <f>Sheet1!CH102-Sheet1!DI102</f>
        <v>387.00000000000028</v>
      </c>
      <c r="U27" s="15">
        <f>Sheet1!CI102-Sheet1!DJ102</f>
        <v>387.00000000000006</v>
      </c>
      <c r="V27" s="15">
        <f>Sheet1!CJ102-Sheet1!DK102</f>
        <v>387.00000000000006</v>
      </c>
      <c r="W27" s="15">
        <f>Sheet1!CK102-Sheet1!DL102</f>
        <v>387.00000000000006</v>
      </c>
      <c r="X27" s="15">
        <f>Sheet1!CL102-Sheet1!DM102</f>
        <v>387.00000000000028</v>
      </c>
      <c r="Y27" s="15">
        <f>Sheet1!CM102-Sheet1!DN102</f>
        <v>387.00000000000017</v>
      </c>
      <c r="Z27" s="15">
        <f>Sheet1!CN102-Sheet1!DO102</f>
        <v>625.99999999999989</v>
      </c>
      <c r="AB27" s="13" t="s">
        <v>39</v>
      </c>
      <c r="AC27" s="13" t="s">
        <v>66</v>
      </c>
      <c r="AD27" s="44">
        <f>IF(Sheet1!AG102=MAX(Sheet1!AG$97:AG$106),0,1)</f>
        <v>1</v>
      </c>
      <c r="AE27" s="44">
        <f>IF(Sheet1!AH102=MAX(Sheet1!AH$97:AH$106),0,1)</f>
        <v>1</v>
      </c>
      <c r="AF27" s="44">
        <f>IF(Sheet1!AI102=MAX(Sheet1!AI$97:AI$106),0,1)</f>
        <v>1</v>
      </c>
      <c r="AG27" s="44">
        <f>IF(Sheet1!AJ102=MAX(Sheet1!AJ$97:AJ$106),0,1)</f>
        <v>1</v>
      </c>
      <c r="AH27" s="44">
        <f>IF(Sheet1!AK102=MAX(Sheet1!AK$97:AK$106),0,1)</f>
        <v>1</v>
      </c>
      <c r="AI27" s="44">
        <f>IF(Sheet1!AL102=MAX(Sheet1!AL$97:AL$106),0,1)</f>
        <v>1</v>
      </c>
      <c r="AJ27" s="44">
        <f>IF(Sheet1!AM102=MAX(Sheet1!AM$97:AM$106),0,1)</f>
        <v>1</v>
      </c>
      <c r="AK27" s="44">
        <f>IF(Sheet1!AN102=MAX(Sheet1!AN$97:AN$106),0,1)</f>
        <v>1</v>
      </c>
      <c r="AL27" s="44">
        <f>IF(Sheet1!AO102=MAX(Sheet1!AO$97:AO$106),0,1)</f>
        <v>1</v>
      </c>
      <c r="AM27" s="44">
        <f>IF(Sheet1!AP102=MAX(Sheet1!AP$97:AP$106),0,1)</f>
        <v>1</v>
      </c>
      <c r="AN27" s="44">
        <f>IF(Sheet1!AQ102=MAX(Sheet1!AQ$97:AQ$106),0,1)</f>
        <v>1</v>
      </c>
      <c r="AO27" s="44">
        <f>IF(Sheet1!AR102=MAX(Sheet1!AR$97:AR$106),0,1)</f>
        <v>1</v>
      </c>
      <c r="AP27" s="44">
        <f>IF(Sheet1!AS102=MAX(Sheet1!AS$97:AS$106),0,1)</f>
        <v>1</v>
      </c>
      <c r="AQ27" s="44">
        <f>IF(Sheet1!AT102=MAX(Sheet1!AT$97:AT$106),0,1)</f>
        <v>1</v>
      </c>
      <c r="AR27" s="44">
        <f>IF(Sheet1!AU102=MAX(Sheet1!AU$97:AU$106),0,1)</f>
        <v>1</v>
      </c>
      <c r="AS27" s="44">
        <f>IF(Sheet1!AV102=MAX(Sheet1!AV$97:AV$106),0,1)</f>
        <v>1</v>
      </c>
      <c r="AT27" s="44">
        <f>IF(Sheet1!AW102=MAX(Sheet1!AW$97:AW$106),0,1)</f>
        <v>1</v>
      </c>
      <c r="AU27" s="44">
        <f>IF(Sheet1!AX102=MAX(Sheet1!AX$97:AX$106),0,1)</f>
        <v>1</v>
      </c>
      <c r="AV27" s="44">
        <f>IF(Sheet1!AY102=MAX(Sheet1!AY$97:AY$106),0,1)</f>
        <v>1</v>
      </c>
      <c r="AW27" s="44">
        <f>IF(Sheet1!AZ102=MAX(Sheet1!AZ$97:AZ$106),0,1)</f>
        <v>1</v>
      </c>
      <c r="AX27" s="44">
        <f>IF(Sheet1!BA102=MAX(Sheet1!BA$97:BA$106),0,1)</f>
        <v>1</v>
      </c>
      <c r="AY27" s="44">
        <f>IF(Sheet1!BB102=MAX(Sheet1!BB$97:BB$106),0,1)</f>
        <v>1</v>
      </c>
      <c r="AZ27" s="44">
        <f>IF(Sheet1!BC102=MAX(Sheet1!BC$97:BC$106),0,1)</f>
        <v>1</v>
      </c>
      <c r="BA27" s="44">
        <f>IF(Sheet1!BD102=MAX(Sheet1!BD$97:BD$106),0,1)</f>
        <v>1</v>
      </c>
    </row>
    <row r="28" spans="1:79" x14ac:dyDescent="0.35">
      <c r="A28" s="13" t="s">
        <v>40</v>
      </c>
      <c r="B28" s="13" t="s">
        <v>67</v>
      </c>
      <c r="C28" s="15">
        <f>Sheet1!BQ103-Sheet1!CR103</f>
        <v>400</v>
      </c>
      <c r="D28" s="15">
        <f>Sheet1!BR103-Sheet1!CS103</f>
        <v>400</v>
      </c>
      <c r="E28" s="15">
        <f>Sheet1!BS103-Sheet1!CT103</f>
        <v>399.99999999999989</v>
      </c>
      <c r="F28" s="15">
        <f>Sheet1!BT103-Sheet1!CU103</f>
        <v>400</v>
      </c>
      <c r="G28" s="15">
        <f>Sheet1!BU103-Sheet1!CV103</f>
        <v>403.63591022443893</v>
      </c>
      <c r="H28" s="15">
        <f>Sheet1!BV103-Sheet1!CW103</f>
        <v>399.99999999999994</v>
      </c>
      <c r="I28" s="15">
        <f>Sheet1!BW103-Sheet1!CX103</f>
        <v>399.99999999999994</v>
      </c>
      <c r="J28" s="15">
        <f>Sheet1!BX103-Sheet1!CY103</f>
        <v>399.99999999999994</v>
      </c>
      <c r="K28" s="15">
        <f>Sheet1!BY103-Sheet1!CZ103</f>
        <v>399.99999999999994</v>
      </c>
      <c r="L28" s="15">
        <f>Sheet1!BZ103-Sheet1!DA103</f>
        <v>399.99999999999994</v>
      </c>
      <c r="M28" s="15">
        <f>Sheet1!CA103-Sheet1!DB103</f>
        <v>299.99999999999994</v>
      </c>
      <c r="N28" s="15">
        <f>Sheet1!CB103-Sheet1!DC103</f>
        <v>0</v>
      </c>
      <c r="O28" s="15">
        <f>Sheet1!CC103-Sheet1!DD103</f>
        <v>299.99999999999994</v>
      </c>
      <c r="P28" s="15">
        <f>Sheet1!CD103-Sheet1!DE103</f>
        <v>299.99999999999994</v>
      </c>
      <c r="Q28" s="15">
        <f>Sheet1!CE103-Sheet1!DF103</f>
        <v>0</v>
      </c>
      <c r="R28" s="15">
        <f>Sheet1!CF103-Sheet1!DG103</f>
        <v>0</v>
      </c>
      <c r="S28" s="15">
        <f>Sheet1!CG103-Sheet1!DH103</f>
        <v>0</v>
      </c>
      <c r="T28" s="15">
        <f>Sheet1!CH103-Sheet1!DI103</f>
        <v>299.99999999999994</v>
      </c>
      <c r="U28" s="15">
        <f>Sheet1!CI103-Sheet1!DJ103</f>
        <v>0</v>
      </c>
      <c r="V28" s="15">
        <f>Sheet1!CJ103-Sheet1!DK103</f>
        <v>0</v>
      </c>
      <c r="W28" s="15">
        <f>Sheet1!CK103-Sheet1!DL103</f>
        <v>0</v>
      </c>
      <c r="X28" s="15">
        <f>Sheet1!CL103-Sheet1!DM103</f>
        <v>299.99999999999994</v>
      </c>
      <c r="Y28" s="15">
        <f>Sheet1!CM103-Sheet1!DN103</f>
        <v>326.74349807288883</v>
      </c>
      <c r="Z28" s="15">
        <f>Sheet1!CN103-Sheet1!DO103</f>
        <v>26.743498072888826</v>
      </c>
      <c r="AB28" s="13" t="s">
        <v>40</v>
      </c>
      <c r="AC28" s="13" t="s">
        <v>67</v>
      </c>
      <c r="AD28" s="44">
        <f>IF(Sheet1!AG103=MAX(Sheet1!AG$97:AG$106),0,1)</f>
        <v>1</v>
      </c>
      <c r="AE28" s="44">
        <f>IF(Sheet1!AH103=MAX(Sheet1!AH$97:AH$106),0,1)</f>
        <v>1</v>
      </c>
      <c r="AF28" s="44">
        <f>IF(Sheet1!AI103=MAX(Sheet1!AI$97:AI$106),0,1)</f>
        <v>1</v>
      </c>
      <c r="AG28" s="44">
        <f>IF(Sheet1!AJ103=MAX(Sheet1!AJ$97:AJ$106),0,1)</f>
        <v>1</v>
      </c>
      <c r="AH28" s="44">
        <f>IF(Sheet1!AK103=MAX(Sheet1!AK$97:AK$106),0,1)</f>
        <v>1</v>
      </c>
      <c r="AI28" s="44">
        <f>IF(Sheet1!AL103=MAX(Sheet1!AL$97:AL$106),0,1)</f>
        <v>1</v>
      </c>
      <c r="AJ28" s="44">
        <f>IF(Sheet1!AM103=MAX(Sheet1!AM$97:AM$106),0,1)</f>
        <v>1</v>
      </c>
      <c r="AK28" s="44">
        <f>IF(Sheet1!AN103=MAX(Sheet1!AN$97:AN$106),0,1)</f>
        <v>1</v>
      </c>
      <c r="AL28" s="44">
        <f>IF(Sheet1!AO103=MAX(Sheet1!AO$97:AO$106),0,1)</f>
        <v>1</v>
      </c>
      <c r="AM28" s="44">
        <f>IF(Sheet1!AP103=MAX(Sheet1!AP$97:AP$106),0,1)</f>
        <v>1</v>
      </c>
      <c r="AN28" s="44">
        <f>IF(Sheet1!AQ103=MAX(Sheet1!AQ$97:AQ$106),0,1)</f>
        <v>1</v>
      </c>
      <c r="AO28" s="44">
        <f>IF(Sheet1!AR103=MAX(Sheet1!AR$97:AR$106),0,1)</f>
        <v>1</v>
      </c>
      <c r="AP28" s="44">
        <f>IF(Sheet1!AS103=MAX(Sheet1!AS$97:AS$106),0,1)</f>
        <v>1</v>
      </c>
      <c r="AQ28" s="44">
        <f>IF(Sheet1!AT103=MAX(Sheet1!AT$97:AT$106),0,1)</f>
        <v>1</v>
      </c>
      <c r="AR28" s="44">
        <f>IF(Sheet1!AU103=MAX(Sheet1!AU$97:AU$106),0,1)</f>
        <v>1</v>
      </c>
      <c r="AS28" s="44">
        <f>IF(Sheet1!AV103=MAX(Sheet1!AV$97:AV$106),0,1)</f>
        <v>1</v>
      </c>
      <c r="AT28" s="44">
        <f>IF(Sheet1!AW103=MAX(Sheet1!AW$97:AW$106),0,1)</f>
        <v>1</v>
      </c>
      <c r="AU28" s="44">
        <f>IF(Sheet1!AX103=MAX(Sheet1!AX$97:AX$106),0,1)</f>
        <v>1</v>
      </c>
      <c r="AV28" s="44">
        <f>IF(Sheet1!AY103=MAX(Sheet1!AY$97:AY$106),0,1)</f>
        <v>1</v>
      </c>
      <c r="AW28" s="44">
        <f>IF(Sheet1!AZ103=MAX(Sheet1!AZ$97:AZ$106),0,1)</f>
        <v>1</v>
      </c>
      <c r="AX28" s="44">
        <f>IF(Sheet1!BA103=MAX(Sheet1!BA$97:BA$106),0,1)</f>
        <v>1</v>
      </c>
      <c r="AY28" s="44">
        <f>IF(Sheet1!BB103=MAX(Sheet1!BB$97:BB$106),0,1)</f>
        <v>1</v>
      </c>
      <c r="AZ28" s="44">
        <f>IF(Sheet1!BC103=MAX(Sheet1!BC$97:BC$106),0,1)</f>
        <v>1</v>
      </c>
      <c r="BA28" s="44">
        <f>IF(Sheet1!BD103=MAX(Sheet1!BD$97:BD$106),0,1)</f>
        <v>1</v>
      </c>
    </row>
    <row r="29" spans="1:79" x14ac:dyDescent="0.35">
      <c r="A29" s="13" t="s">
        <v>41</v>
      </c>
      <c r="B29" s="13" t="s">
        <v>68</v>
      </c>
      <c r="C29" s="15">
        <f>Sheet1!BQ104-Sheet1!CR104</f>
        <v>0</v>
      </c>
      <c r="D29" s="15">
        <f>Sheet1!BR104-Sheet1!CS104</f>
        <v>0</v>
      </c>
      <c r="E29" s="15">
        <f>Sheet1!BS104-Sheet1!CT104</f>
        <v>0</v>
      </c>
      <c r="F29" s="15">
        <f>Sheet1!BT104-Sheet1!CU104</f>
        <v>0</v>
      </c>
      <c r="G29" s="15">
        <f>Sheet1!BU104-Sheet1!CV104</f>
        <v>0</v>
      </c>
      <c r="H29" s="15">
        <f>Sheet1!BV104-Sheet1!CW104</f>
        <v>0</v>
      </c>
      <c r="I29" s="15">
        <f>Sheet1!BW104-Sheet1!CX104</f>
        <v>0</v>
      </c>
      <c r="J29" s="15">
        <f>Sheet1!BX104-Sheet1!CY104</f>
        <v>0</v>
      </c>
      <c r="K29" s="15">
        <f>Sheet1!BY104-Sheet1!CZ104</f>
        <v>0</v>
      </c>
      <c r="L29" s="15">
        <f>Sheet1!BZ104-Sheet1!DA104</f>
        <v>0</v>
      </c>
      <c r="M29" s="15">
        <f>Sheet1!CA104-Sheet1!DB104</f>
        <v>0</v>
      </c>
      <c r="N29" s="15">
        <f>Sheet1!CB104-Sheet1!DC104</f>
        <v>0</v>
      </c>
      <c r="O29" s="15">
        <f>Sheet1!CC104-Sheet1!DD104</f>
        <v>0</v>
      </c>
      <c r="P29" s="15">
        <f>Sheet1!CD104-Sheet1!DE104</f>
        <v>0</v>
      </c>
      <c r="Q29" s="15">
        <f>Sheet1!CE104-Sheet1!DF104</f>
        <v>0</v>
      </c>
      <c r="R29" s="15">
        <f>Sheet1!CF104-Sheet1!DG104</f>
        <v>0</v>
      </c>
      <c r="S29" s="15">
        <f>Sheet1!CG104-Sheet1!DH104</f>
        <v>0</v>
      </c>
      <c r="T29" s="15">
        <f>Sheet1!CH104-Sheet1!DI104</f>
        <v>0</v>
      </c>
      <c r="U29" s="15">
        <f>Sheet1!CI104-Sheet1!DJ104</f>
        <v>0</v>
      </c>
      <c r="V29" s="15">
        <f>Sheet1!CJ104-Sheet1!DK104</f>
        <v>0</v>
      </c>
      <c r="W29" s="15">
        <f>Sheet1!CK104-Sheet1!DL104</f>
        <v>0</v>
      </c>
      <c r="X29" s="15">
        <f>Sheet1!CL104-Sheet1!DM104</f>
        <v>0</v>
      </c>
      <c r="Y29" s="15">
        <f>Sheet1!CM104-Sheet1!DN104</f>
        <v>0</v>
      </c>
      <c r="Z29" s="15">
        <f>Sheet1!CN104-Sheet1!DO104</f>
        <v>0</v>
      </c>
      <c r="AB29" s="13" t="s">
        <v>41</v>
      </c>
      <c r="AC29" s="13" t="s">
        <v>68</v>
      </c>
      <c r="AD29" s="44">
        <f>IF(Sheet1!AG104=MAX(Sheet1!AG$97:AG$106),0,1)</f>
        <v>1</v>
      </c>
      <c r="AE29" s="44">
        <f>IF(Sheet1!AH104=MAX(Sheet1!AH$97:AH$106),0,1)</f>
        <v>1</v>
      </c>
      <c r="AF29" s="44">
        <f>IF(Sheet1!AI104=MAX(Sheet1!AI$97:AI$106),0,1)</f>
        <v>1</v>
      </c>
      <c r="AG29" s="44">
        <f>IF(Sheet1!AJ104=MAX(Sheet1!AJ$97:AJ$106),0,1)</f>
        <v>1</v>
      </c>
      <c r="AH29" s="44">
        <f>IF(Sheet1!AK104=MAX(Sheet1!AK$97:AK$106),0,1)</f>
        <v>1</v>
      </c>
      <c r="AI29" s="44">
        <f>IF(Sheet1!AL104=MAX(Sheet1!AL$97:AL$106),0,1)</f>
        <v>1</v>
      </c>
      <c r="AJ29" s="44">
        <f>IF(Sheet1!AM104=MAX(Sheet1!AM$97:AM$106),0,1)</f>
        <v>1</v>
      </c>
      <c r="AK29" s="44">
        <f>IF(Sheet1!AN104=MAX(Sheet1!AN$97:AN$106),0,1)</f>
        <v>1</v>
      </c>
      <c r="AL29" s="44">
        <f>IF(Sheet1!AO104=MAX(Sheet1!AO$97:AO$106),0,1)</f>
        <v>1</v>
      </c>
      <c r="AM29" s="44">
        <f>IF(Sheet1!AP104=MAX(Sheet1!AP$97:AP$106),0,1)</f>
        <v>1</v>
      </c>
      <c r="AN29" s="44">
        <f>IF(Sheet1!AQ104=MAX(Sheet1!AQ$97:AQ$106),0,1)</f>
        <v>1</v>
      </c>
      <c r="AO29" s="44">
        <f>IF(Sheet1!AR104=MAX(Sheet1!AR$97:AR$106),0,1)</f>
        <v>1</v>
      </c>
      <c r="AP29" s="44">
        <f>IF(Sheet1!AS104=MAX(Sheet1!AS$97:AS$106),0,1)</f>
        <v>1</v>
      </c>
      <c r="AQ29" s="44">
        <f>IF(Sheet1!AT104=MAX(Sheet1!AT$97:AT$106),0,1)</f>
        <v>1</v>
      </c>
      <c r="AR29" s="44">
        <f>IF(Sheet1!AU104=MAX(Sheet1!AU$97:AU$106),0,1)</f>
        <v>1</v>
      </c>
      <c r="AS29" s="44">
        <f>IF(Sheet1!AV104=MAX(Sheet1!AV$97:AV$106),0,1)</f>
        <v>1</v>
      </c>
      <c r="AT29" s="44">
        <f>IF(Sheet1!AW104=MAX(Sheet1!AW$97:AW$106),0,1)</f>
        <v>1</v>
      </c>
      <c r="AU29" s="44">
        <f>IF(Sheet1!AX104=MAX(Sheet1!AX$97:AX$106),0,1)</f>
        <v>1</v>
      </c>
      <c r="AV29" s="44">
        <f>IF(Sheet1!AY104=MAX(Sheet1!AY$97:AY$106),0,1)</f>
        <v>1</v>
      </c>
      <c r="AW29" s="44">
        <f>IF(Sheet1!AZ104=MAX(Sheet1!AZ$97:AZ$106),0,1)</f>
        <v>1</v>
      </c>
      <c r="AX29" s="44">
        <f>IF(Sheet1!BA104=MAX(Sheet1!BA$97:BA$106),0,1)</f>
        <v>1</v>
      </c>
      <c r="AY29" s="44">
        <f>IF(Sheet1!BB104=MAX(Sheet1!BB$97:BB$106),0,1)</f>
        <v>1</v>
      </c>
      <c r="AZ29" s="44">
        <f>IF(Sheet1!BC104=MAX(Sheet1!BC$97:BC$106),0,1)</f>
        <v>1</v>
      </c>
      <c r="BA29" s="44">
        <f>IF(Sheet1!BD104=MAX(Sheet1!BD$97:BD$106),0,1)</f>
        <v>1</v>
      </c>
    </row>
    <row r="30" spans="1:79" x14ac:dyDescent="0.35">
      <c r="A30" s="13" t="s">
        <v>42</v>
      </c>
      <c r="B30" s="13" t="s">
        <v>61</v>
      </c>
      <c r="C30" s="15">
        <f>Sheet1!BQ105-Sheet1!CR105</f>
        <v>36</v>
      </c>
      <c r="D30" s="15">
        <f>Sheet1!BR105-Sheet1!CS105</f>
        <v>0</v>
      </c>
      <c r="E30" s="15">
        <f>Sheet1!BS105-Sheet1!CT105</f>
        <v>0</v>
      </c>
      <c r="F30" s="15">
        <f>Sheet1!BT105-Sheet1!CU105</f>
        <v>0</v>
      </c>
      <c r="G30" s="15">
        <f>Sheet1!BU105-Sheet1!CV105</f>
        <v>0</v>
      </c>
      <c r="H30" s="15">
        <f>Sheet1!BV105-Sheet1!CW105</f>
        <v>0</v>
      </c>
      <c r="I30" s="15">
        <f>Sheet1!BW105-Sheet1!CX105</f>
        <v>0</v>
      </c>
      <c r="J30" s="15">
        <f>Sheet1!BX105-Sheet1!CY105</f>
        <v>0</v>
      </c>
      <c r="K30" s="15">
        <f>Sheet1!BY105-Sheet1!CZ105</f>
        <v>0</v>
      </c>
      <c r="L30" s="15">
        <f>Sheet1!BZ105-Sheet1!DA105</f>
        <v>0</v>
      </c>
      <c r="M30" s="15">
        <f>Sheet1!CA105-Sheet1!DB105</f>
        <v>0</v>
      </c>
      <c r="N30" s="15">
        <f>Sheet1!CB105-Sheet1!DC105</f>
        <v>0</v>
      </c>
      <c r="O30" s="15">
        <f>Sheet1!CC105-Sheet1!DD105</f>
        <v>0</v>
      </c>
      <c r="P30" s="15">
        <f>Sheet1!CD105-Sheet1!DE105</f>
        <v>0</v>
      </c>
      <c r="Q30" s="15">
        <f>Sheet1!CE105-Sheet1!DF105</f>
        <v>0</v>
      </c>
      <c r="R30" s="15">
        <f>Sheet1!CF105-Sheet1!DG105</f>
        <v>0</v>
      </c>
      <c r="S30" s="15">
        <f>Sheet1!CG105-Sheet1!DH105</f>
        <v>0</v>
      </c>
      <c r="T30" s="15">
        <f>Sheet1!CH105-Sheet1!DI105</f>
        <v>0</v>
      </c>
      <c r="U30" s="15">
        <f>Sheet1!CI105-Sheet1!DJ105</f>
        <v>0</v>
      </c>
      <c r="V30" s="15">
        <f>Sheet1!CJ105-Sheet1!DK105</f>
        <v>0</v>
      </c>
      <c r="W30" s="15">
        <f>Sheet1!CK105-Sheet1!DL105</f>
        <v>0</v>
      </c>
      <c r="X30" s="15">
        <f>Sheet1!CL105-Sheet1!DM105</f>
        <v>0</v>
      </c>
      <c r="Y30" s="15">
        <f>Sheet1!CM105-Sheet1!DN105</f>
        <v>0</v>
      </c>
      <c r="Z30" s="15">
        <f>Sheet1!CN105-Sheet1!DO105</f>
        <v>0</v>
      </c>
      <c r="AB30" s="13" t="s">
        <v>42</v>
      </c>
      <c r="AC30" s="13" t="s">
        <v>61</v>
      </c>
      <c r="AD30" s="44">
        <f>IF(Sheet1!AG105=MAX(Sheet1!AG$97:AG$106),0,1)</f>
        <v>1</v>
      </c>
      <c r="AE30" s="44">
        <f>IF(Sheet1!AH105=MAX(Sheet1!AH$97:AH$106),0,1)</f>
        <v>1</v>
      </c>
      <c r="AF30" s="44">
        <f>IF(Sheet1!AI105=MAX(Sheet1!AI$97:AI$106),0,1)</f>
        <v>1</v>
      </c>
      <c r="AG30" s="44">
        <f>IF(Sheet1!AJ105=MAX(Sheet1!AJ$97:AJ$106),0,1)</f>
        <v>1</v>
      </c>
      <c r="AH30" s="44">
        <f>IF(Sheet1!AK105=MAX(Sheet1!AK$97:AK$106),0,1)</f>
        <v>1</v>
      </c>
      <c r="AI30" s="44">
        <f>IF(Sheet1!AL105=MAX(Sheet1!AL$97:AL$106),0,1)</f>
        <v>1</v>
      </c>
      <c r="AJ30" s="44">
        <f>IF(Sheet1!AM105=MAX(Sheet1!AM$97:AM$106),0,1)</f>
        <v>1</v>
      </c>
      <c r="AK30" s="44">
        <f>IF(Sheet1!AN105=MAX(Sheet1!AN$97:AN$106),0,1)</f>
        <v>1</v>
      </c>
      <c r="AL30" s="44">
        <f>IF(Sheet1!AO105=MAX(Sheet1!AO$97:AO$106),0,1)</f>
        <v>1</v>
      </c>
      <c r="AM30" s="44">
        <f>IF(Sheet1!AP105=MAX(Sheet1!AP$97:AP$106),0,1)</f>
        <v>1</v>
      </c>
      <c r="AN30" s="44">
        <f>IF(Sheet1!AQ105=MAX(Sheet1!AQ$97:AQ$106),0,1)</f>
        <v>1</v>
      </c>
      <c r="AO30" s="44">
        <f>IF(Sheet1!AR105=MAX(Sheet1!AR$97:AR$106),0,1)</f>
        <v>1</v>
      </c>
      <c r="AP30" s="44">
        <f>IF(Sheet1!AS105=MAX(Sheet1!AS$97:AS$106),0,1)</f>
        <v>1</v>
      </c>
      <c r="AQ30" s="44">
        <f>IF(Sheet1!AT105=MAX(Sheet1!AT$97:AT$106),0,1)</f>
        <v>1</v>
      </c>
      <c r="AR30" s="44">
        <f>IF(Sheet1!AU105=MAX(Sheet1!AU$97:AU$106),0,1)</f>
        <v>1</v>
      </c>
      <c r="AS30" s="44">
        <f>IF(Sheet1!AV105=MAX(Sheet1!AV$97:AV$106),0,1)</f>
        <v>1</v>
      </c>
      <c r="AT30" s="44">
        <f>IF(Sheet1!AW105=MAX(Sheet1!AW$97:AW$106),0,1)</f>
        <v>1</v>
      </c>
      <c r="AU30" s="44">
        <f>IF(Sheet1!AX105=MAX(Sheet1!AX$97:AX$106),0,1)</f>
        <v>1</v>
      </c>
      <c r="AV30" s="44">
        <f>IF(Sheet1!AY105=MAX(Sheet1!AY$97:AY$106),0,1)</f>
        <v>1</v>
      </c>
      <c r="AW30" s="44">
        <f>IF(Sheet1!AZ105=MAX(Sheet1!AZ$97:AZ$106),0,1)</f>
        <v>1</v>
      </c>
      <c r="AX30" s="44">
        <f>IF(Sheet1!BA105=MAX(Sheet1!BA$97:BA$106),0,1)</f>
        <v>1</v>
      </c>
      <c r="AY30" s="44">
        <f>IF(Sheet1!BB105=MAX(Sheet1!BB$97:BB$106),0,1)</f>
        <v>1</v>
      </c>
      <c r="AZ30" s="44">
        <f>IF(Sheet1!BC105=MAX(Sheet1!BC$97:BC$106),0,1)</f>
        <v>1</v>
      </c>
      <c r="BA30" s="44">
        <f>IF(Sheet1!BD105=MAX(Sheet1!BD$97:BD$106),0,1)</f>
        <v>1</v>
      </c>
    </row>
    <row r="31" spans="1:79" x14ac:dyDescent="0.35">
      <c r="A31" s="13" t="s">
        <v>43</v>
      </c>
      <c r="B31" s="13" t="s">
        <v>69</v>
      </c>
      <c r="C31" s="15">
        <f>Sheet1!BQ106-Sheet1!CR106</f>
        <v>0</v>
      </c>
      <c r="D31" s="15">
        <f>Sheet1!BR106-Sheet1!CS106</f>
        <v>0</v>
      </c>
      <c r="E31" s="15">
        <f>Sheet1!BS106-Sheet1!CT106</f>
        <v>0</v>
      </c>
      <c r="F31" s="15">
        <f>Sheet1!BT106-Sheet1!CU106</f>
        <v>0</v>
      </c>
      <c r="G31" s="15">
        <f>Sheet1!BU106-Sheet1!CV106</f>
        <v>75.770573567084767</v>
      </c>
      <c r="H31" s="15">
        <f>Sheet1!BV106-Sheet1!CW106</f>
        <v>0</v>
      </c>
      <c r="I31" s="15">
        <f>Sheet1!BW106-Sheet1!CX106</f>
        <v>0</v>
      </c>
      <c r="J31" s="15">
        <f>Sheet1!BX106-Sheet1!CY106</f>
        <v>0</v>
      </c>
      <c r="K31" s="15">
        <f>Sheet1!BY106-Sheet1!CZ106</f>
        <v>0</v>
      </c>
      <c r="L31" s="15">
        <f>Sheet1!BZ106-Sheet1!DA106</f>
        <v>0</v>
      </c>
      <c r="M31" s="15">
        <f>Sheet1!CA106-Sheet1!DB106</f>
        <v>0</v>
      </c>
      <c r="N31" s="15">
        <f>Sheet1!CB106-Sheet1!DC106</f>
        <v>0</v>
      </c>
      <c r="O31" s="15">
        <f>Sheet1!CC106-Sheet1!DD106</f>
        <v>0</v>
      </c>
      <c r="P31" s="15">
        <f>Sheet1!CD106-Sheet1!DE106</f>
        <v>0</v>
      </c>
      <c r="Q31" s="15">
        <f>Sheet1!CE106-Sheet1!DF106</f>
        <v>0</v>
      </c>
      <c r="R31" s="15">
        <f>Sheet1!CF106-Sheet1!DG106</f>
        <v>0</v>
      </c>
      <c r="S31" s="15">
        <f>Sheet1!CG106-Sheet1!DH106</f>
        <v>0</v>
      </c>
      <c r="T31" s="15">
        <f>Sheet1!CH106-Sheet1!DI106</f>
        <v>0</v>
      </c>
      <c r="U31" s="15">
        <f>Sheet1!CI106-Sheet1!DJ106</f>
        <v>0</v>
      </c>
      <c r="V31" s="15">
        <f>Sheet1!CJ106-Sheet1!DK106</f>
        <v>0</v>
      </c>
      <c r="W31" s="15">
        <f>Sheet1!CK106-Sheet1!DL106</f>
        <v>0</v>
      </c>
      <c r="X31" s="15">
        <f>Sheet1!CL106-Sheet1!DM106</f>
        <v>0</v>
      </c>
      <c r="Y31" s="15">
        <f>Sheet1!CM106-Sheet1!DN106</f>
        <v>0</v>
      </c>
      <c r="Z31" s="15">
        <f>Sheet1!CN106-Sheet1!DO106</f>
        <v>0</v>
      </c>
      <c r="AB31" s="13" t="s">
        <v>43</v>
      </c>
      <c r="AC31" s="13" t="s">
        <v>69</v>
      </c>
      <c r="AD31" s="44">
        <f>IF(Sheet1!AG106=MAX(Sheet1!AG$97:AG$106),0,1)</f>
        <v>1</v>
      </c>
      <c r="AE31" s="44">
        <f>IF(Sheet1!AH106=MAX(Sheet1!AH$97:AH$106),0,1)</f>
        <v>1</v>
      </c>
      <c r="AF31" s="44">
        <f>IF(Sheet1!AI106=MAX(Sheet1!AI$97:AI$106),0,1)</f>
        <v>1</v>
      </c>
      <c r="AG31" s="44">
        <f>IF(Sheet1!AJ106=MAX(Sheet1!AJ$97:AJ$106),0,1)</f>
        <v>1</v>
      </c>
      <c r="AH31" s="44">
        <f>IF(Sheet1!AK106=MAX(Sheet1!AK$97:AK$106),0,1)</f>
        <v>1</v>
      </c>
      <c r="AI31" s="44">
        <f>IF(Sheet1!AL106=MAX(Sheet1!AL$97:AL$106),0,1)</f>
        <v>1</v>
      </c>
      <c r="AJ31" s="44">
        <f>IF(Sheet1!AM106=MAX(Sheet1!AM$97:AM$106),0,1)</f>
        <v>1</v>
      </c>
      <c r="AK31" s="44">
        <f>IF(Sheet1!AN106=MAX(Sheet1!AN$97:AN$106),0,1)</f>
        <v>1</v>
      </c>
      <c r="AL31" s="44">
        <f>IF(Sheet1!AO106=MAX(Sheet1!AO$97:AO$106),0,1)</f>
        <v>1</v>
      </c>
      <c r="AM31" s="44">
        <f>IF(Sheet1!AP106=MAX(Sheet1!AP$97:AP$106),0,1)</f>
        <v>1</v>
      </c>
      <c r="AN31" s="44">
        <f>IF(Sheet1!AQ106=MAX(Sheet1!AQ$97:AQ$106),0,1)</f>
        <v>1</v>
      </c>
      <c r="AO31" s="44">
        <f>IF(Sheet1!AR106=MAX(Sheet1!AR$97:AR$106),0,1)</f>
        <v>1</v>
      </c>
      <c r="AP31" s="44">
        <f>IF(Sheet1!AS106=MAX(Sheet1!AS$97:AS$106),0,1)</f>
        <v>1</v>
      </c>
      <c r="AQ31" s="44">
        <f>IF(Sheet1!AT106=MAX(Sheet1!AT$97:AT$106),0,1)</f>
        <v>1</v>
      </c>
      <c r="AR31" s="44">
        <f>IF(Sheet1!AU106=MAX(Sheet1!AU$97:AU$106),0,1)</f>
        <v>1</v>
      </c>
      <c r="AS31" s="44">
        <f>IF(Sheet1!AV106=MAX(Sheet1!AV$97:AV$106),0,1)</f>
        <v>1</v>
      </c>
      <c r="AT31" s="44">
        <f>IF(Sheet1!AW106=MAX(Sheet1!AW$97:AW$106),0,1)</f>
        <v>1</v>
      </c>
      <c r="AU31" s="44">
        <f>IF(Sheet1!AX106=MAX(Sheet1!AX$97:AX$106),0,1)</f>
        <v>1</v>
      </c>
      <c r="AV31" s="44">
        <f>IF(Sheet1!AY106=MAX(Sheet1!AY$97:AY$106),0,1)</f>
        <v>1</v>
      </c>
      <c r="AW31" s="44">
        <f>IF(Sheet1!AZ106=MAX(Sheet1!AZ$97:AZ$106),0,1)</f>
        <v>1</v>
      </c>
      <c r="AX31" s="44">
        <f>IF(Sheet1!BA106=MAX(Sheet1!BA$97:BA$106),0,1)</f>
        <v>1</v>
      </c>
      <c r="AY31" s="44">
        <f>IF(Sheet1!BB106=MAX(Sheet1!BB$97:BB$106),0,1)</f>
        <v>1</v>
      </c>
      <c r="AZ31" s="44">
        <f>IF(Sheet1!BC106=MAX(Sheet1!BC$97:BC$106),0,1)</f>
        <v>1</v>
      </c>
      <c r="BA31" s="44">
        <f>IF(Sheet1!BD106=MAX(Sheet1!BD$97:BD$106),0,1)</f>
        <v>1</v>
      </c>
    </row>
    <row r="33" spans="1:1" x14ac:dyDescent="0.35">
      <c r="A33" s="43"/>
    </row>
    <row r="34" spans="1:1" x14ac:dyDescent="0.35">
      <c r="A34" s="43"/>
    </row>
    <row r="35" spans="1:1" x14ac:dyDescent="0.35">
      <c r="A35" s="43"/>
    </row>
    <row r="36" spans="1:1" x14ac:dyDescent="0.35">
      <c r="A36" s="43"/>
    </row>
    <row r="37" spans="1:1" x14ac:dyDescent="0.35">
      <c r="A37" s="43"/>
    </row>
    <row r="38" spans="1:1" x14ac:dyDescent="0.35">
      <c r="A38" s="43"/>
    </row>
    <row r="39" spans="1:1" x14ac:dyDescent="0.35">
      <c r="A39" s="43"/>
    </row>
    <row r="40" spans="1:1" x14ac:dyDescent="0.35">
      <c r="A40" s="43"/>
    </row>
    <row r="41" spans="1:1" x14ac:dyDescent="0.35">
      <c r="A41" s="43"/>
    </row>
    <row r="42" spans="1:1" x14ac:dyDescent="0.35">
      <c r="A42" s="43"/>
    </row>
  </sheetData>
  <mergeCells count="12">
    <mergeCell ref="BC3:BC4"/>
    <mergeCell ref="BD3:CA3"/>
    <mergeCell ref="BC20:BC21"/>
    <mergeCell ref="BD20:CA20"/>
    <mergeCell ref="A3:B4"/>
    <mergeCell ref="C3:Z3"/>
    <mergeCell ref="A20:B21"/>
    <mergeCell ref="C20:Z20"/>
    <mergeCell ref="AD3:BA3"/>
    <mergeCell ref="AB3:AC4"/>
    <mergeCell ref="AB20:AC21"/>
    <mergeCell ref="AD20:BA20"/>
  </mergeCells>
  <conditionalFormatting sqref="C5:Z14">
    <cfRule type="cellIs" dxfId="10" priority="7" operator="equal">
      <formula>0</formula>
    </cfRule>
  </conditionalFormatting>
  <conditionalFormatting sqref="C22:Z31">
    <cfRule type="cellIs" dxfId="9" priority="6" operator="equal">
      <formula>0</formula>
    </cfRule>
  </conditionalFormatting>
  <conditionalFormatting sqref="AD5:BA14">
    <cfRule type="cellIs" dxfId="8" priority="5" operator="equal">
      <formula>0</formula>
    </cfRule>
  </conditionalFormatting>
  <conditionalFormatting sqref="AD22:BA31">
    <cfRule type="cellIs" dxfId="7" priority="2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2764-D0FA-4DB3-8564-695C9A36D806}">
  <dimension ref="A1:H25"/>
  <sheetViews>
    <sheetView zoomScale="85" zoomScaleNormal="85" workbookViewId="0">
      <selection activeCell="J9" sqref="J9"/>
    </sheetView>
  </sheetViews>
  <sheetFormatPr defaultRowHeight="14.5" x14ac:dyDescent="0.35"/>
  <sheetData>
    <row r="1" spans="1:8" x14ac:dyDescent="0.35">
      <c r="B1" t="s">
        <v>31</v>
      </c>
      <c r="C1" t="s">
        <v>52</v>
      </c>
      <c r="D1" t="s">
        <v>54</v>
      </c>
      <c r="E1" t="s">
        <v>55</v>
      </c>
      <c r="F1" t="s">
        <v>56</v>
      </c>
      <c r="G1" t="s">
        <v>70</v>
      </c>
      <c r="H1" t="s">
        <v>126</v>
      </c>
    </row>
    <row r="2" spans="1:8" x14ac:dyDescent="0.35">
      <c r="A2">
        <v>1</v>
      </c>
      <c r="B2">
        <v>505.49999999999994</v>
      </c>
      <c r="C2">
        <v>505.49999999999994</v>
      </c>
      <c r="D2">
        <v>651.30000000000007</v>
      </c>
      <c r="E2">
        <v>651.30000000000007</v>
      </c>
      <c r="F2">
        <v>992.94</v>
      </c>
      <c r="G2" s="9">
        <v>853.80000000000007</v>
      </c>
      <c r="H2" s="49">
        <v>708</v>
      </c>
    </row>
    <row r="3" spans="1:8" x14ac:dyDescent="0.35">
      <c r="A3">
        <v>2</v>
      </c>
      <c r="B3">
        <v>505.49999999999994</v>
      </c>
      <c r="C3">
        <v>505.49999999999994</v>
      </c>
      <c r="D3">
        <v>651.30000000000007</v>
      </c>
      <c r="E3">
        <v>651.30000000000007</v>
      </c>
      <c r="F3">
        <v>853.80000000000007</v>
      </c>
      <c r="G3" s="9">
        <v>853.80000000000007</v>
      </c>
      <c r="H3" s="49">
        <v>708</v>
      </c>
    </row>
    <row r="4" spans="1:8" x14ac:dyDescent="0.35">
      <c r="A4">
        <v>3</v>
      </c>
      <c r="B4">
        <v>505.49999999999994</v>
      </c>
      <c r="C4">
        <v>505.49999999999994</v>
      </c>
      <c r="D4">
        <v>651.30000000000007</v>
      </c>
      <c r="E4">
        <v>651.30000000000007</v>
      </c>
      <c r="F4">
        <v>853.80000000000007</v>
      </c>
      <c r="G4" s="9">
        <v>853.80000000000007</v>
      </c>
      <c r="H4" s="49">
        <v>708</v>
      </c>
    </row>
    <row r="5" spans="1:8" x14ac:dyDescent="0.35">
      <c r="A5">
        <v>4</v>
      </c>
      <c r="B5">
        <v>505.49999999999994</v>
      </c>
      <c r="C5">
        <v>505.49999999999994</v>
      </c>
      <c r="D5">
        <v>651.30000000000007</v>
      </c>
      <c r="E5">
        <v>651.30000000000007</v>
      </c>
      <c r="F5">
        <v>853.80000000000007</v>
      </c>
      <c r="G5" s="9">
        <v>853.80000000000007</v>
      </c>
      <c r="H5" s="49">
        <v>708</v>
      </c>
    </row>
    <row r="6" spans="1:8" x14ac:dyDescent="0.35">
      <c r="A6">
        <v>5</v>
      </c>
      <c r="B6">
        <v>505.49999999999994</v>
      </c>
      <c r="C6">
        <v>505.49999999999994</v>
      </c>
      <c r="D6">
        <v>651.30000000000007</v>
      </c>
      <c r="E6">
        <v>651.30000000000007</v>
      </c>
      <c r="F6">
        <v>853.80000000000007</v>
      </c>
      <c r="G6" s="9">
        <v>853.80000000000007</v>
      </c>
      <c r="H6" s="49">
        <v>708</v>
      </c>
    </row>
    <row r="7" spans="1:8" x14ac:dyDescent="0.35">
      <c r="A7">
        <v>6</v>
      </c>
      <c r="B7">
        <v>505.49999999999994</v>
      </c>
      <c r="C7">
        <v>505.49999999999994</v>
      </c>
      <c r="D7">
        <v>651.30000000000007</v>
      </c>
      <c r="E7">
        <v>651.30000000000007</v>
      </c>
      <c r="F7">
        <v>853.80000000000007</v>
      </c>
      <c r="G7" s="9">
        <v>853.80000000000007</v>
      </c>
      <c r="H7" s="49">
        <v>708</v>
      </c>
    </row>
    <row r="8" spans="1:8" x14ac:dyDescent="0.35">
      <c r="A8">
        <v>7</v>
      </c>
      <c r="B8">
        <v>505.49999999999994</v>
      </c>
      <c r="C8">
        <v>505.49999999999994</v>
      </c>
      <c r="D8">
        <v>651.30000000000007</v>
      </c>
      <c r="E8">
        <v>651.30000000000007</v>
      </c>
      <c r="F8">
        <v>853.80000000000007</v>
      </c>
      <c r="G8" s="9">
        <v>853.80000000000007</v>
      </c>
      <c r="H8" s="49">
        <v>708</v>
      </c>
    </row>
    <row r="9" spans="1:8" x14ac:dyDescent="0.35">
      <c r="A9">
        <v>8</v>
      </c>
      <c r="B9">
        <v>505.49999999999994</v>
      </c>
      <c r="C9">
        <v>505.49999999999994</v>
      </c>
      <c r="D9">
        <v>651.30000000000007</v>
      </c>
      <c r="E9">
        <v>651.30000000000007</v>
      </c>
      <c r="F9">
        <v>853.80000000000007</v>
      </c>
      <c r="G9" s="9">
        <v>853.80000000000007</v>
      </c>
      <c r="H9" s="49">
        <v>708</v>
      </c>
    </row>
    <row r="10" spans="1:8" x14ac:dyDescent="0.35">
      <c r="A10">
        <v>9</v>
      </c>
      <c r="B10">
        <v>505.49999999999994</v>
      </c>
      <c r="C10">
        <v>505.49999999999994</v>
      </c>
      <c r="D10">
        <v>651.30000000000007</v>
      </c>
      <c r="E10">
        <v>651.30000000000007</v>
      </c>
      <c r="F10">
        <v>853.80000000000007</v>
      </c>
      <c r="G10" s="9">
        <v>853.80000000000007</v>
      </c>
      <c r="H10" s="49">
        <v>708</v>
      </c>
    </row>
    <row r="11" spans="1:8" x14ac:dyDescent="0.35">
      <c r="A11">
        <v>10</v>
      </c>
      <c r="B11">
        <v>505.49999999999994</v>
      </c>
      <c r="C11">
        <v>505.49999999999994</v>
      </c>
      <c r="D11">
        <v>651.30000000000007</v>
      </c>
      <c r="E11">
        <v>790.44</v>
      </c>
      <c r="F11">
        <v>853.80000000000007</v>
      </c>
      <c r="G11" s="9">
        <v>853.80000000000007</v>
      </c>
      <c r="H11" s="49">
        <v>708</v>
      </c>
    </row>
    <row r="12" spans="1:8" x14ac:dyDescent="0.35">
      <c r="A12">
        <v>11</v>
      </c>
      <c r="B12">
        <v>518.46</v>
      </c>
      <c r="C12">
        <v>521.1</v>
      </c>
      <c r="D12">
        <v>651.30000000000007</v>
      </c>
      <c r="E12">
        <v>790.44</v>
      </c>
      <c r="F12">
        <v>853.80000000000007</v>
      </c>
      <c r="G12" s="9">
        <v>853.80000000000007</v>
      </c>
      <c r="H12" s="49">
        <v>723.6</v>
      </c>
    </row>
    <row r="13" spans="1:8" x14ac:dyDescent="0.35">
      <c r="A13">
        <v>12</v>
      </c>
      <c r="B13">
        <v>518.46</v>
      </c>
      <c r="C13">
        <v>521.1</v>
      </c>
      <c r="D13">
        <v>651.30000000000007</v>
      </c>
      <c r="E13">
        <v>790.44</v>
      </c>
      <c r="F13">
        <v>853.80000000000007</v>
      </c>
      <c r="G13" s="9">
        <v>853.80000000000007</v>
      </c>
      <c r="H13" s="49">
        <v>723.6</v>
      </c>
    </row>
    <row r="14" spans="1:8" x14ac:dyDescent="0.35">
      <c r="A14">
        <v>13</v>
      </c>
      <c r="B14">
        <v>505.49999999999994</v>
      </c>
      <c r="C14">
        <v>521.1</v>
      </c>
      <c r="D14">
        <v>651.30000000000007</v>
      </c>
      <c r="E14">
        <v>790.44</v>
      </c>
      <c r="F14">
        <v>853.80000000000007</v>
      </c>
      <c r="G14" s="9">
        <v>853.80000000000007</v>
      </c>
      <c r="H14" s="49">
        <v>723.6</v>
      </c>
    </row>
    <row r="15" spans="1:8" x14ac:dyDescent="0.35">
      <c r="A15">
        <v>14</v>
      </c>
      <c r="B15">
        <v>518.46</v>
      </c>
      <c r="C15">
        <v>521.1</v>
      </c>
      <c r="D15">
        <v>651.30000000000007</v>
      </c>
      <c r="E15">
        <v>790.44</v>
      </c>
      <c r="F15">
        <v>853.80000000000007</v>
      </c>
      <c r="G15" s="9">
        <v>853.80000000000007</v>
      </c>
      <c r="H15" s="49">
        <v>723.6</v>
      </c>
    </row>
    <row r="16" spans="1:8" x14ac:dyDescent="0.35">
      <c r="A16">
        <v>15</v>
      </c>
      <c r="B16">
        <v>534.06000000000006</v>
      </c>
      <c r="C16">
        <v>534.06000000000006</v>
      </c>
      <c r="D16">
        <v>651.30000000000007</v>
      </c>
      <c r="E16">
        <v>790.44</v>
      </c>
      <c r="F16">
        <v>853.80000000000007</v>
      </c>
      <c r="G16" s="9">
        <v>853.80000000000007</v>
      </c>
      <c r="H16" s="49">
        <v>723.6</v>
      </c>
    </row>
    <row r="17" spans="1:8" x14ac:dyDescent="0.35">
      <c r="A17">
        <v>16</v>
      </c>
      <c r="B17">
        <v>521.1</v>
      </c>
      <c r="C17">
        <v>534.06000000000006</v>
      </c>
      <c r="D17">
        <v>651.30000000000007</v>
      </c>
      <c r="E17">
        <v>790.44</v>
      </c>
      <c r="F17">
        <v>853.80000000000007</v>
      </c>
      <c r="G17" s="9">
        <v>853.80000000000007</v>
      </c>
      <c r="H17" s="49">
        <v>723.6</v>
      </c>
    </row>
    <row r="18" spans="1:8" x14ac:dyDescent="0.35">
      <c r="A18">
        <v>17</v>
      </c>
      <c r="B18">
        <v>521.1</v>
      </c>
      <c r="C18">
        <v>521.1</v>
      </c>
      <c r="D18">
        <v>651.30000000000007</v>
      </c>
      <c r="E18">
        <v>790.44</v>
      </c>
      <c r="F18">
        <v>853.80000000000007</v>
      </c>
      <c r="G18" s="9">
        <v>853.80000000000007</v>
      </c>
      <c r="H18" s="49">
        <v>723.6</v>
      </c>
    </row>
    <row r="19" spans="1:8" x14ac:dyDescent="0.35">
      <c r="A19">
        <v>18</v>
      </c>
      <c r="B19">
        <v>505.49999999999994</v>
      </c>
      <c r="C19">
        <v>521.1</v>
      </c>
      <c r="D19">
        <v>651.30000000000007</v>
      </c>
      <c r="E19">
        <v>790.44</v>
      </c>
      <c r="F19">
        <v>853.80000000000007</v>
      </c>
      <c r="G19" s="9">
        <v>853.80000000000007</v>
      </c>
      <c r="H19" s="49">
        <v>723.6</v>
      </c>
    </row>
    <row r="20" spans="1:8" x14ac:dyDescent="0.35">
      <c r="A20">
        <v>19</v>
      </c>
      <c r="B20">
        <v>518.46</v>
      </c>
      <c r="C20">
        <v>521.1</v>
      </c>
      <c r="D20">
        <v>651.30000000000007</v>
      </c>
      <c r="E20">
        <v>790.44</v>
      </c>
      <c r="F20">
        <v>853.80000000000007</v>
      </c>
      <c r="G20" s="9">
        <v>853.80000000000007</v>
      </c>
      <c r="H20" s="49">
        <v>736.56000000000006</v>
      </c>
    </row>
    <row r="21" spans="1:8" x14ac:dyDescent="0.35">
      <c r="A21">
        <v>20</v>
      </c>
      <c r="B21">
        <v>534.06000000000006</v>
      </c>
      <c r="C21">
        <v>534.06000000000006</v>
      </c>
      <c r="D21">
        <v>651.30000000000007</v>
      </c>
      <c r="E21">
        <v>790.44</v>
      </c>
      <c r="F21">
        <v>853.80000000000007</v>
      </c>
      <c r="G21" s="9">
        <v>853.80000000000007</v>
      </c>
      <c r="H21" s="49">
        <v>736.56000000000006</v>
      </c>
    </row>
    <row r="22" spans="1:8" x14ac:dyDescent="0.35">
      <c r="A22">
        <v>21</v>
      </c>
      <c r="B22">
        <v>534.06000000000006</v>
      </c>
      <c r="C22">
        <v>534.06000000000006</v>
      </c>
      <c r="D22">
        <v>651.30000000000007</v>
      </c>
      <c r="E22">
        <v>790.44</v>
      </c>
      <c r="F22">
        <v>853.80000000000007</v>
      </c>
      <c r="G22" s="9">
        <v>853.80000000000007</v>
      </c>
      <c r="H22" s="49">
        <v>723.6</v>
      </c>
    </row>
    <row r="23" spans="1:8" x14ac:dyDescent="0.35">
      <c r="A23">
        <v>22</v>
      </c>
      <c r="B23">
        <v>518.46</v>
      </c>
      <c r="C23">
        <v>521.1</v>
      </c>
      <c r="D23">
        <v>651.30000000000007</v>
      </c>
      <c r="E23">
        <v>790.44</v>
      </c>
      <c r="F23">
        <v>853.80000000000007</v>
      </c>
      <c r="G23" s="9">
        <v>853.80000000000007</v>
      </c>
      <c r="H23" s="49">
        <v>723.6</v>
      </c>
    </row>
    <row r="24" spans="1:8" x14ac:dyDescent="0.35">
      <c r="A24">
        <v>23</v>
      </c>
      <c r="B24">
        <v>505.49999999999994</v>
      </c>
      <c r="C24">
        <v>505.49999999999994</v>
      </c>
      <c r="D24">
        <v>505.49999999999994</v>
      </c>
      <c r="E24">
        <v>790.44</v>
      </c>
      <c r="F24">
        <v>708</v>
      </c>
      <c r="G24" s="9">
        <v>853.80000000000007</v>
      </c>
      <c r="H24" s="49">
        <v>708</v>
      </c>
    </row>
    <row r="25" spans="1:8" x14ac:dyDescent="0.35">
      <c r="A25">
        <v>24</v>
      </c>
      <c r="B25">
        <v>505.49999999999994</v>
      </c>
      <c r="C25">
        <v>505.49999999999994</v>
      </c>
      <c r="D25">
        <v>505.49999999999994</v>
      </c>
      <c r="E25">
        <v>651.30000000000007</v>
      </c>
      <c r="F25">
        <v>708</v>
      </c>
      <c r="G25" s="9">
        <v>853.80000000000007</v>
      </c>
      <c r="H25" s="49">
        <v>708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72A4-A198-4E25-9E9A-4B9C3EA7D365}">
  <dimension ref="A1:Q44"/>
  <sheetViews>
    <sheetView topLeftCell="A19" zoomScale="70" zoomScaleNormal="70" workbookViewId="0">
      <selection activeCell="L34" sqref="L34"/>
    </sheetView>
  </sheetViews>
  <sheetFormatPr defaultRowHeight="14.5" x14ac:dyDescent="0.35"/>
  <cols>
    <col min="3" max="13" width="14.6328125" customWidth="1"/>
    <col min="14" max="14" width="10.6328125" customWidth="1"/>
    <col min="15" max="19" width="15.6328125" customWidth="1"/>
    <col min="20" max="20" width="12.90625" bestFit="1" customWidth="1"/>
    <col min="21" max="21" width="14.54296875" bestFit="1" customWidth="1"/>
    <col min="22" max="22" width="11.54296875" bestFit="1" customWidth="1"/>
  </cols>
  <sheetData>
    <row r="1" spans="1:17" x14ac:dyDescent="0.35">
      <c r="A1" t="s">
        <v>110</v>
      </c>
    </row>
    <row r="2" spans="1:17" ht="29" x14ac:dyDescent="0.35">
      <c r="A2" s="34" t="s">
        <v>72</v>
      </c>
      <c r="B2" s="34" t="s">
        <v>73</v>
      </c>
      <c r="C2" s="34" t="s">
        <v>74</v>
      </c>
      <c r="D2" s="34" t="s">
        <v>75</v>
      </c>
      <c r="E2" s="34" t="s">
        <v>76</v>
      </c>
      <c r="F2" s="34" t="s">
        <v>94</v>
      </c>
      <c r="G2" s="34" t="s">
        <v>95</v>
      </c>
      <c r="H2" s="34" t="s">
        <v>96</v>
      </c>
      <c r="I2" s="34" t="s">
        <v>97</v>
      </c>
      <c r="J2" s="34" t="s">
        <v>98</v>
      </c>
      <c r="K2" s="34" t="s">
        <v>99</v>
      </c>
      <c r="L2" s="34" t="s">
        <v>101</v>
      </c>
      <c r="M2" s="34" t="s">
        <v>100</v>
      </c>
      <c r="O2" s="28" t="s">
        <v>78</v>
      </c>
      <c r="P2" s="28" t="s">
        <v>77</v>
      </c>
      <c r="Q2" s="28" t="s">
        <v>79</v>
      </c>
    </row>
    <row r="3" spans="1:17" x14ac:dyDescent="0.35">
      <c r="A3" s="35" t="s">
        <v>82</v>
      </c>
      <c r="B3" s="35" t="s">
        <v>60</v>
      </c>
      <c r="C3" s="30">
        <v>627</v>
      </c>
      <c r="D3" s="30">
        <v>1176</v>
      </c>
      <c r="E3" s="30">
        <v>0</v>
      </c>
      <c r="F3" s="31">
        <v>26.089309859200004</v>
      </c>
      <c r="G3" s="31">
        <v>3594.8580056927967</v>
      </c>
      <c r="H3" s="30">
        <v>58800</v>
      </c>
      <c r="I3" s="30">
        <v>0</v>
      </c>
      <c r="J3" s="30">
        <v>120</v>
      </c>
      <c r="K3" s="30">
        <v>120</v>
      </c>
      <c r="L3" s="30">
        <v>23</v>
      </c>
      <c r="M3" s="30">
        <v>23</v>
      </c>
      <c r="O3" s="29">
        <v>1</v>
      </c>
      <c r="P3" s="29">
        <v>0.15</v>
      </c>
      <c r="Q3" s="29">
        <v>2.25</v>
      </c>
    </row>
    <row r="4" spans="1:17" x14ac:dyDescent="0.35">
      <c r="A4" s="35" t="s">
        <v>83</v>
      </c>
      <c r="B4" s="35" t="s">
        <v>62</v>
      </c>
      <c r="C4" s="30">
        <v>340</v>
      </c>
      <c r="D4" s="30">
        <v>1125</v>
      </c>
      <c r="E4" s="30">
        <v>0</v>
      </c>
      <c r="F4" s="31">
        <v>51.250826969999999</v>
      </c>
      <c r="G4" s="31">
        <v>3825.0617201999994</v>
      </c>
      <c r="H4" s="30">
        <v>90000</v>
      </c>
      <c r="I4" s="30">
        <v>0</v>
      </c>
      <c r="J4" s="30">
        <v>300</v>
      </c>
      <c r="K4" s="30">
        <v>300</v>
      </c>
      <c r="L4" s="30">
        <v>2</v>
      </c>
      <c r="M4" s="30">
        <v>12</v>
      </c>
      <c r="O4" s="29">
        <v>1</v>
      </c>
      <c r="P4" s="29">
        <v>0.2</v>
      </c>
      <c r="Q4" s="29">
        <v>1.5</v>
      </c>
    </row>
    <row r="5" spans="1:17" x14ac:dyDescent="0.35">
      <c r="A5" s="35" t="s">
        <v>84</v>
      </c>
      <c r="B5" s="35" t="s">
        <v>63</v>
      </c>
      <c r="C5" s="30">
        <v>600</v>
      </c>
      <c r="D5" s="30">
        <v>969</v>
      </c>
      <c r="E5" s="30">
        <v>0</v>
      </c>
      <c r="F5" s="31">
        <v>26.089309859199993</v>
      </c>
      <c r="G5" s="31">
        <v>3440.0555078400066</v>
      </c>
      <c r="H5" s="30">
        <v>48450</v>
      </c>
      <c r="I5" s="30">
        <v>0</v>
      </c>
      <c r="J5" s="30">
        <v>120</v>
      </c>
      <c r="K5" s="30">
        <v>120</v>
      </c>
      <c r="L5" s="30">
        <v>23</v>
      </c>
      <c r="M5" s="30">
        <v>23</v>
      </c>
      <c r="O5" s="29">
        <v>1</v>
      </c>
      <c r="P5" s="29">
        <v>0.2</v>
      </c>
      <c r="Q5" s="29">
        <v>1</v>
      </c>
    </row>
    <row r="6" spans="1:17" x14ac:dyDescent="0.35">
      <c r="A6" s="35" t="s">
        <v>85</v>
      </c>
      <c r="B6" s="35" t="s">
        <v>64</v>
      </c>
      <c r="C6" s="30">
        <v>85</v>
      </c>
      <c r="D6" s="30">
        <v>130</v>
      </c>
      <c r="E6" s="30">
        <v>0</v>
      </c>
      <c r="F6" s="31">
        <v>89.128422280000009</v>
      </c>
      <c r="G6" s="31">
        <v>1662.9236578999989</v>
      </c>
      <c r="H6" s="30">
        <v>3120</v>
      </c>
      <c r="I6" s="30">
        <v>0</v>
      </c>
      <c r="J6" s="30">
        <v>480</v>
      </c>
      <c r="K6" s="30">
        <v>480</v>
      </c>
      <c r="L6" s="30">
        <v>12</v>
      </c>
      <c r="M6" s="30">
        <v>10</v>
      </c>
      <c r="O6" s="29">
        <v>1</v>
      </c>
      <c r="P6" s="29">
        <v>0.15</v>
      </c>
      <c r="Q6" s="29">
        <v>1.75</v>
      </c>
    </row>
    <row r="7" spans="1:17" x14ac:dyDescent="0.35">
      <c r="A7" s="35" t="s">
        <v>86</v>
      </c>
      <c r="B7" s="35" t="s">
        <v>65</v>
      </c>
      <c r="C7" s="30">
        <v>66</v>
      </c>
      <c r="D7" s="30">
        <v>108</v>
      </c>
      <c r="E7" s="30">
        <v>0</v>
      </c>
      <c r="F7" s="31">
        <v>89.128422279999995</v>
      </c>
      <c r="G7" s="31">
        <v>1291.2113108400008</v>
      </c>
      <c r="H7" s="30">
        <v>2592</v>
      </c>
      <c r="I7" s="30">
        <v>0</v>
      </c>
      <c r="J7" s="30">
        <v>480</v>
      </c>
      <c r="K7" s="30">
        <v>480</v>
      </c>
      <c r="L7" s="30">
        <v>2</v>
      </c>
      <c r="M7" s="30">
        <v>2</v>
      </c>
      <c r="O7" s="29">
        <v>1</v>
      </c>
      <c r="P7" s="29">
        <v>0.2</v>
      </c>
      <c r="Q7" s="29">
        <v>1.25</v>
      </c>
    </row>
    <row r="8" spans="1:17" x14ac:dyDescent="0.35">
      <c r="A8" s="35" t="s">
        <v>87</v>
      </c>
      <c r="B8" s="35" t="s">
        <v>66</v>
      </c>
      <c r="C8" s="30">
        <v>250</v>
      </c>
      <c r="D8" s="30">
        <v>1095</v>
      </c>
      <c r="E8" s="30">
        <v>0</v>
      </c>
      <c r="F8" s="31">
        <v>51.250826969999999</v>
      </c>
      <c r="G8" s="31">
        <v>2812.5453825000004</v>
      </c>
      <c r="H8" s="30">
        <v>87600</v>
      </c>
      <c r="I8" s="30">
        <v>0</v>
      </c>
      <c r="J8" s="30">
        <v>300</v>
      </c>
      <c r="K8" s="30">
        <v>300</v>
      </c>
      <c r="L8" s="30">
        <v>2</v>
      </c>
      <c r="M8" s="30">
        <v>2</v>
      </c>
      <c r="O8" s="29">
        <v>1</v>
      </c>
      <c r="P8" s="29">
        <v>0.2</v>
      </c>
      <c r="Q8" s="29">
        <v>1</v>
      </c>
    </row>
    <row r="9" spans="1:17" x14ac:dyDescent="0.35">
      <c r="A9" s="35" t="s">
        <v>88</v>
      </c>
      <c r="B9" s="35" t="s">
        <v>67</v>
      </c>
      <c r="C9" s="30">
        <v>248</v>
      </c>
      <c r="D9" s="30">
        <v>810</v>
      </c>
      <c r="E9" s="30">
        <v>0</v>
      </c>
      <c r="F9" s="31">
        <v>51.250826969999999</v>
      </c>
      <c r="G9" s="31">
        <v>2790.0450194399964</v>
      </c>
      <c r="H9" s="30">
        <v>64800</v>
      </c>
      <c r="I9" s="30">
        <v>0</v>
      </c>
      <c r="J9" s="30">
        <v>300</v>
      </c>
      <c r="K9" s="30">
        <v>300</v>
      </c>
      <c r="L9" s="30">
        <v>23</v>
      </c>
      <c r="M9" s="30">
        <v>23</v>
      </c>
      <c r="O9" s="29">
        <v>1</v>
      </c>
      <c r="P9" s="29">
        <v>0.2</v>
      </c>
      <c r="Q9" s="29">
        <v>1</v>
      </c>
    </row>
    <row r="10" spans="1:17" x14ac:dyDescent="0.35">
      <c r="A10" s="35" t="s">
        <v>89</v>
      </c>
      <c r="B10" s="35" t="s">
        <v>68</v>
      </c>
      <c r="C10" s="30">
        <v>347.85</v>
      </c>
      <c r="D10" s="30">
        <v>773</v>
      </c>
      <c r="E10" s="30">
        <v>0</v>
      </c>
      <c r="F10" s="31">
        <v>51.250826970000013</v>
      </c>
      <c r="G10" s="31">
        <v>3913.3756452104935</v>
      </c>
      <c r="H10" s="30">
        <v>61840</v>
      </c>
      <c r="I10" s="30">
        <v>0</v>
      </c>
      <c r="J10" s="30">
        <v>300</v>
      </c>
      <c r="K10" s="30">
        <v>300</v>
      </c>
      <c r="L10" s="30">
        <v>1</v>
      </c>
      <c r="M10" s="30">
        <v>2</v>
      </c>
      <c r="O10" s="29">
        <v>1</v>
      </c>
      <c r="P10" s="29">
        <v>0.2</v>
      </c>
      <c r="Q10" s="29">
        <v>1</v>
      </c>
    </row>
    <row r="11" spans="1:17" x14ac:dyDescent="0.35">
      <c r="A11" s="36" t="s">
        <v>90</v>
      </c>
      <c r="B11" s="36" t="s">
        <v>61</v>
      </c>
      <c r="C11" s="30">
        <v>540</v>
      </c>
      <c r="D11" s="30">
        <v>870</v>
      </c>
      <c r="E11" s="30">
        <v>0</v>
      </c>
      <c r="F11" s="31">
        <v>26.089309859199993</v>
      </c>
      <c r="G11" s="31">
        <v>3096.0499570560023</v>
      </c>
      <c r="H11" s="30">
        <v>43500</v>
      </c>
      <c r="I11" s="30">
        <v>0</v>
      </c>
      <c r="J11" s="30">
        <v>120</v>
      </c>
      <c r="K11" s="30">
        <v>120</v>
      </c>
      <c r="L11" s="30">
        <v>1</v>
      </c>
      <c r="M11" s="30">
        <v>3</v>
      </c>
      <c r="O11" s="29">
        <v>1</v>
      </c>
      <c r="P11" s="29">
        <v>0.2</v>
      </c>
      <c r="Q11" s="29">
        <v>1</v>
      </c>
    </row>
    <row r="12" spans="1:17" x14ac:dyDescent="0.35">
      <c r="A12" s="36" t="s">
        <v>91</v>
      </c>
      <c r="B12" s="36" t="s">
        <v>69</v>
      </c>
      <c r="C12" s="30">
        <v>600</v>
      </c>
      <c r="D12" s="30">
        <v>840</v>
      </c>
      <c r="E12" s="30">
        <v>0</v>
      </c>
      <c r="F12" s="31">
        <v>26.089309859199997</v>
      </c>
      <c r="G12" s="31">
        <v>3440.055507840003</v>
      </c>
      <c r="H12" s="30">
        <v>42000</v>
      </c>
      <c r="I12" s="30">
        <v>0</v>
      </c>
      <c r="J12" s="30">
        <v>120</v>
      </c>
      <c r="K12" s="30">
        <v>120</v>
      </c>
      <c r="L12" s="30">
        <v>23</v>
      </c>
      <c r="M12" s="30">
        <v>23</v>
      </c>
      <c r="O12" s="29">
        <v>1</v>
      </c>
      <c r="P12" s="29">
        <v>0.2</v>
      </c>
      <c r="Q12" s="29">
        <v>1</v>
      </c>
    </row>
    <row r="13" spans="1:17" x14ac:dyDescent="0.35">
      <c r="A13" s="27"/>
      <c r="B13" s="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7" x14ac:dyDescent="0.35">
      <c r="A14" s="33" t="s">
        <v>111</v>
      </c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7" ht="29" x14ac:dyDescent="0.35">
      <c r="A15" s="34" t="s">
        <v>72</v>
      </c>
      <c r="B15" s="34" t="s">
        <v>73</v>
      </c>
      <c r="C15" s="34" t="s">
        <v>80</v>
      </c>
      <c r="D15" s="34" t="s">
        <v>104</v>
      </c>
      <c r="E15" s="34" t="s">
        <v>105</v>
      </c>
      <c r="F15" s="34" t="s">
        <v>106</v>
      </c>
      <c r="G15" s="26"/>
      <c r="H15" s="26"/>
      <c r="I15" s="26"/>
      <c r="J15" s="26"/>
      <c r="K15" s="26"/>
      <c r="L15" s="26"/>
      <c r="M15" s="26"/>
      <c r="N15" s="26"/>
    </row>
    <row r="16" spans="1:17" x14ac:dyDescent="0.35">
      <c r="A16" s="35" t="s">
        <v>82</v>
      </c>
      <c r="B16" s="35" t="s">
        <v>60</v>
      </c>
      <c r="C16" s="30">
        <v>1</v>
      </c>
      <c r="D16" s="32">
        <v>1176</v>
      </c>
      <c r="E16" s="30">
        <v>99</v>
      </c>
      <c r="F16" s="30">
        <v>0</v>
      </c>
      <c r="G16" s="26"/>
      <c r="H16" s="26"/>
      <c r="I16" s="26"/>
      <c r="J16" s="26"/>
      <c r="K16" s="26"/>
      <c r="L16" s="26"/>
      <c r="M16" s="26"/>
      <c r="N16" s="26"/>
    </row>
    <row r="17" spans="1:14" x14ac:dyDescent="0.35">
      <c r="A17" s="35" t="s">
        <v>83</v>
      </c>
      <c r="B17" s="35" t="s">
        <v>62</v>
      </c>
      <c r="C17" s="30">
        <v>1</v>
      </c>
      <c r="D17" s="32">
        <v>340</v>
      </c>
      <c r="E17" s="30">
        <v>99</v>
      </c>
      <c r="F17" s="30">
        <v>0</v>
      </c>
      <c r="G17" s="26"/>
      <c r="H17" s="26"/>
      <c r="I17" s="26"/>
      <c r="J17" s="26"/>
      <c r="K17" s="26"/>
      <c r="L17" s="26"/>
      <c r="M17" s="26"/>
      <c r="N17" s="26"/>
    </row>
    <row r="18" spans="1:14" x14ac:dyDescent="0.35">
      <c r="A18" s="35" t="s">
        <v>84</v>
      </c>
      <c r="B18" s="35" t="s">
        <v>63</v>
      </c>
      <c r="C18" s="30">
        <v>1</v>
      </c>
      <c r="D18" s="32">
        <v>600</v>
      </c>
      <c r="E18" s="30">
        <v>99</v>
      </c>
      <c r="F18" s="30">
        <v>0</v>
      </c>
      <c r="G18" s="26"/>
      <c r="H18" s="26"/>
      <c r="I18" s="26"/>
      <c r="J18" s="26"/>
      <c r="K18" s="26"/>
      <c r="L18" s="26"/>
      <c r="M18" s="26"/>
      <c r="N18" s="26"/>
    </row>
    <row r="19" spans="1:14" x14ac:dyDescent="0.35">
      <c r="A19" s="35" t="s">
        <v>85</v>
      </c>
      <c r="B19" s="35" t="s">
        <v>64</v>
      </c>
      <c r="C19" s="30">
        <v>1</v>
      </c>
      <c r="D19" s="32">
        <v>85</v>
      </c>
      <c r="E19" s="30">
        <v>99</v>
      </c>
      <c r="F19" s="30">
        <v>0</v>
      </c>
    </row>
    <row r="20" spans="1:14" x14ac:dyDescent="0.35">
      <c r="A20" s="35" t="s">
        <v>86</v>
      </c>
      <c r="B20" s="35" t="s">
        <v>65</v>
      </c>
      <c r="C20" s="30">
        <v>1</v>
      </c>
      <c r="D20" s="32">
        <v>66</v>
      </c>
      <c r="E20" s="30">
        <v>99</v>
      </c>
      <c r="F20" s="30">
        <v>0</v>
      </c>
    </row>
    <row r="21" spans="1:14" x14ac:dyDescent="0.35">
      <c r="A21" s="35" t="s">
        <v>87</v>
      </c>
      <c r="B21" s="35" t="s">
        <v>66</v>
      </c>
      <c r="C21" s="30">
        <v>1</v>
      </c>
      <c r="D21" s="32">
        <v>250</v>
      </c>
      <c r="E21" s="30">
        <v>99</v>
      </c>
      <c r="F21" s="30">
        <v>0</v>
      </c>
    </row>
    <row r="22" spans="1:14" x14ac:dyDescent="0.35">
      <c r="A22" s="35" t="s">
        <v>88</v>
      </c>
      <c r="B22" s="35" t="s">
        <v>67</v>
      </c>
      <c r="C22" s="30">
        <v>1</v>
      </c>
      <c r="D22" s="32">
        <v>248</v>
      </c>
      <c r="E22" s="30">
        <v>99</v>
      </c>
      <c r="F22" s="30">
        <v>0</v>
      </c>
    </row>
    <row r="23" spans="1:14" x14ac:dyDescent="0.35">
      <c r="A23" s="35" t="s">
        <v>89</v>
      </c>
      <c r="B23" s="35" t="s">
        <v>68</v>
      </c>
      <c r="C23" s="30">
        <v>1</v>
      </c>
      <c r="D23" s="32">
        <v>347.85</v>
      </c>
      <c r="E23" s="30">
        <v>99</v>
      </c>
      <c r="F23" s="30">
        <v>0</v>
      </c>
    </row>
    <row r="24" spans="1:14" x14ac:dyDescent="0.35">
      <c r="A24" s="36" t="s">
        <v>90</v>
      </c>
      <c r="B24" s="36" t="s">
        <v>61</v>
      </c>
      <c r="C24" s="30">
        <v>1</v>
      </c>
      <c r="D24" s="32">
        <v>540</v>
      </c>
      <c r="E24" s="30">
        <v>99</v>
      </c>
      <c r="F24" s="30">
        <v>0</v>
      </c>
    </row>
    <row r="25" spans="1:14" x14ac:dyDescent="0.35">
      <c r="A25" s="36" t="s">
        <v>91</v>
      </c>
      <c r="B25" s="36" t="s">
        <v>69</v>
      </c>
      <c r="C25" s="30">
        <v>1</v>
      </c>
      <c r="D25" s="32">
        <v>600</v>
      </c>
      <c r="E25" s="30">
        <v>99</v>
      </c>
      <c r="F25" s="30">
        <v>0</v>
      </c>
    </row>
    <row r="27" spans="1:14" x14ac:dyDescent="0.35">
      <c r="A27" t="s">
        <v>112</v>
      </c>
    </row>
    <row r="28" spans="1:14" ht="29" x14ac:dyDescent="0.35">
      <c r="A28" s="34" t="s">
        <v>72</v>
      </c>
      <c r="B28" s="34" t="s">
        <v>73</v>
      </c>
      <c r="C28" s="34" t="s">
        <v>107</v>
      </c>
      <c r="D28" s="34" t="s">
        <v>109</v>
      </c>
      <c r="E28" s="34" t="s">
        <v>102</v>
      </c>
      <c r="F28" s="34" t="s">
        <v>103</v>
      </c>
      <c r="G28" s="34" t="s">
        <v>108</v>
      </c>
      <c r="H28" s="34" t="s">
        <v>81</v>
      </c>
    </row>
    <row r="29" spans="1:14" x14ac:dyDescent="0.35">
      <c r="A29" s="35" t="s">
        <v>82</v>
      </c>
      <c r="B29" s="35" t="s">
        <v>60</v>
      </c>
      <c r="C29" s="30">
        <v>0</v>
      </c>
      <c r="D29" s="32">
        <f t="shared" ref="D29:D38" si="0">D3-C3</f>
        <v>549</v>
      </c>
      <c r="E29" s="30">
        <v>5</v>
      </c>
      <c r="F29" s="30">
        <v>4</v>
      </c>
      <c r="G29" s="30">
        <v>0</v>
      </c>
      <c r="H29" s="32">
        <v>129.79999999999998</v>
      </c>
    </row>
    <row r="30" spans="1:14" x14ac:dyDescent="0.35">
      <c r="A30" s="35" t="s">
        <v>83</v>
      </c>
      <c r="B30" s="35" t="s">
        <v>62</v>
      </c>
      <c r="C30" s="30">
        <v>0</v>
      </c>
      <c r="D30" s="32">
        <f t="shared" si="0"/>
        <v>785</v>
      </c>
      <c r="E30" s="30">
        <v>5</v>
      </c>
      <c r="F30" s="30">
        <v>9</v>
      </c>
      <c r="G30" s="30">
        <v>0</v>
      </c>
      <c r="H30" s="32">
        <v>31.654</v>
      </c>
    </row>
    <row r="31" spans="1:14" x14ac:dyDescent="0.35">
      <c r="A31" s="35" t="s">
        <v>84</v>
      </c>
      <c r="B31" s="35" t="s">
        <v>63</v>
      </c>
      <c r="C31" s="30">
        <v>0</v>
      </c>
      <c r="D31" s="32">
        <f t="shared" si="0"/>
        <v>369</v>
      </c>
      <c r="E31" s="30">
        <v>5</v>
      </c>
      <c r="F31" s="30">
        <v>4</v>
      </c>
      <c r="G31" s="30">
        <v>0</v>
      </c>
      <c r="H31" s="32">
        <v>85.55</v>
      </c>
    </row>
    <row r="32" spans="1:14" x14ac:dyDescent="0.35">
      <c r="A32" s="35" t="s">
        <v>85</v>
      </c>
      <c r="B32" s="35" t="s">
        <v>64</v>
      </c>
      <c r="C32" s="30">
        <v>0</v>
      </c>
      <c r="D32" s="32">
        <f t="shared" si="0"/>
        <v>45</v>
      </c>
      <c r="E32" s="30">
        <v>5</v>
      </c>
      <c r="F32" s="30">
        <v>6</v>
      </c>
      <c r="G32" s="30">
        <v>0</v>
      </c>
      <c r="H32" s="32">
        <v>31.948</v>
      </c>
    </row>
    <row r="33" spans="1:10" x14ac:dyDescent="0.35">
      <c r="A33" s="35" t="s">
        <v>86</v>
      </c>
      <c r="B33" s="35" t="s">
        <v>65</v>
      </c>
      <c r="C33" s="30">
        <v>0</v>
      </c>
      <c r="D33" s="32">
        <f t="shared" si="0"/>
        <v>42</v>
      </c>
      <c r="E33" s="30">
        <v>5</v>
      </c>
      <c r="F33" s="30">
        <v>6</v>
      </c>
      <c r="G33" s="30">
        <v>0</v>
      </c>
      <c r="H33" s="32">
        <v>24.891999999999999</v>
      </c>
    </row>
    <row r="34" spans="1:10" x14ac:dyDescent="0.35">
      <c r="A34" s="35" t="s">
        <v>87</v>
      </c>
      <c r="B34" s="35" t="s">
        <v>66</v>
      </c>
      <c r="C34" s="30">
        <v>0</v>
      </c>
      <c r="D34" s="32">
        <f t="shared" si="0"/>
        <v>845</v>
      </c>
      <c r="E34" s="30">
        <v>5</v>
      </c>
      <c r="F34" s="30">
        <v>9</v>
      </c>
      <c r="G34" s="30">
        <v>0</v>
      </c>
      <c r="H34" s="32">
        <v>33.663000000000004</v>
      </c>
    </row>
    <row r="35" spans="1:10" x14ac:dyDescent="0.35">
      <c r="A35" s="35" t="s">
        <v>88</v>
      </c>
      <c r="B35" s="35" t="s">
        <v>67</v>
      </c>
      <c r="C35" s="30">
        <v>0</v>
      </c>
      <c r="D35" s="32">
        <f t="shared" si="0"/>
        <v>562</v>
      </c>
      <c r="E35" s="30">
        <v>5</v>
      </c>
      <c r="F35" s="30">
        <v>9</v>
      </c>
      <c r="G35" s="30">
        <v>0</v>
      </c>
      <c r="H35" s="32">
        <v>28.42</v>
      </c>
    </row>
    <row r="36" spans="1:10" x14ac:dyDescent="0.35">
      <c r="A36" s="35" t="s">
        <v>89</v>
      </c>
      <c r="B36" s="35" t="s">
        <v>68</v>
      </c>
      <c r="C36" s="30">
        <v>0</v>
      </c>
      <c r="D36" s="32">
        <f t="shared" si="0"/>
        <v>425.15</v>
      </c>
      <c r="E36" s="30">
        <v>5</v>
      </c>
      <c r="F36" s="30">
        <v>9</v>
      </c>
      <c r="G36" s="30">
        <v>0</v>
      </c>
      <c r="H36" s="32">
        <v>27.636000000000003</v>
      </c>
    </row>
    <row r="37" spans="1:10" x14ac:dyDescent="0.35">
      <c r="A37" s="36" t="s">
        <v>90</v>
      </c>
      <c r="B37" s="36" t="s">
        <v>61</v>
      </c>
      <c r="C37" s="30">
        <v>0</v>
      </c>
      <c r="D37" s="32">
        <f t="shared" si="0"/>
        <v>330</v>
      </c>
      <c r="E37" s="30">
        <v>5</v>
      </c>
      <c r="F37" s="30">
        <v>4</v>
      </c>
      <c r="G37" s="30">
        <v>0</v>
      </c>
      <c r="H37" s="32">
        <v>102.07</v>
      </c>
    </row>
    <row r="38" spans="1:10" x14ac:dyDescent="0.35">
      <c r="A38" s="36" t="s">
        <v>91</v>
      </c>
      <c r="B38" s="36" t="s">
        <v>69</v>
      </c>
      <c r="C38" s="30">
        <v>0</v>
      </c>
      <c r="D38" s="32">
        <f t="shared" si="0"/>
        <v>240</v>
      </c>
      <c r="E38" s="30">
        <v>5</v>
      </c>
      <c r="F38" s="30">
        <v>4</v>
      </c>
      <c r="G38" s="30">
        <v>0</v>
      </c>
      <c r="H38" s="32">
        <v>122.72</v>
      </c>
    </row>
    <row r="41" spans="1:10" x14ac:dyDescent="0.35">
      <c r="A41" t="s">
        <v>132</v>
      </c>
    </row>
    <row r="42" spans="1:10" ht="29.5" customHeight="1" x14ac:dyDescent="0.35">
      <c r="A42" s="34" t="s">
        <v>72</v>
      </c>
      <c r="B42" s="34" t="s">
        <v>133</v>
      </c>
      <c r="C42" s="34" t="s">
        <v>136</v>
      </c>
      <c r="D42" s="34" t="s">
        <v>137</v>
      </c>
      <c r="E42" s="34" t="s">
        <v>138</v>
      </c>
      <c r="F42" s="34" t="s">
        <v>139</v>
      </c>
      <c r="G42" s="34" t="s">
        <v>140</v>
      </c>
      <c r="H42" s="34" t="s">
        <v>141</v>
      </c>
      <c r="I42" s="34" t="s">
        <v>142</v>
      </c>
      <c r="J42" s="34" t="s">
        <v>143</v>
      </c>
    </row>
    <row r="43" spans="1:10" x14ac:dyDescent="0.35">
      <c r="A43" s="35" t="s">
        <v>134</v>
      </c>
      <c r="B43" s="55">
        <v>1</v>
      </c>
      <c r="C43" s="32">
        <v>155</v>
      </c>
      <c r="D43" s="32">
        <v>10</v>
      </c>
      <c r="E43" s="32">
        <v>60</v>
      </c>
      <c r="F43" s="32">
        <v>60</v>
      </c>
      <c r="G43" s="32">
        <v>1</v>
      </c>
      <c r="H43" s="32">
        <v>1</v>
      </c>
      <c r="I43" s="32">
        <v>15.5</v>
      </c>
      <c r="J43" s="32">
        <v>15.5</v>
      </c>
    </row>
    <row r="44" spans="1:10" x14ac:dyDescent="0.35">
      <c r="A44" s="35" t="s">
        <v>135</v>
      </c>
      <c r="B44" s="55">
        <v>2</v>
      </c>
      <c r="C44" s="32">
        <v>50</v>
      </c>
      <c r="D44" s="32">
        <v>10</v>
      </c>
      <c r="E44" s="32">
        <v>20</v>
      </c>
      <c r="F44" s="32">
        <v>20</v>
      </c>
      <c r="G44" s="32">
        <v>1</v>
      </c>
      <c r="H44" s="32">
        <v>1</v>
      </c>
      <c r="I44" s="32">
        <v>25</v>
      </c>
      <c r="J44" s="32">
        <v>25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C6A9-D248-4352-8EE1-C2AE65C08271}">
  <dimension ref="A1:G25"/>
  <sheetViews>
    <sheetView zoomScale="70" zoomScaleNormal="70" workbookViewId="0">
      <selection activeCell="S25" sqref="S25"/>
    </sheetView>
  </sheetViews>
  <sheetFormatPr defaultRowHeight="14.5" x14ac:dyDescent="0.35"/>
  <cols>
    <col min="1" max="1" width="6.6328125" customWidth="1"/>
    <col min="2" max="2" width="12.6328125" customWidth="1"/>
  </cols>
  <sheetData>
    <row r="1" spans="1:7" ht="29" x14ac:dyDescent="0.35">
      <c r="A1" s="34" t="s">
        <v>22</v>
      </c>
      <c r="B1" s="34" t="s">
        <v>113</v>
      </c>
      <c r="C1" s="28" t="s">
        <v>150</v>
      </c>
      <c r="D1" t="s">
        <v>151</v>
      </c>
      <c r="F1" t="s">
        <v>92</v>
      </c>
      <c r="G1" t="s">
        <v>93</v>
      </c>
    </row>
    <row r="2" spans="1:7" x14ac:dyDescent="0.35">
      <c r="A2" s="37">
        <v>1</v>
      </c>
      <c r="B2" s="38">
        <v>4225.6768346587305</v>
      </c>
      <c r="C2" s="4">
        <v>1</v>
      </c>
      <c r="D2">
        <f>C2*400</f>
        <v>400</v>
      </c>
      <c r="F2">
        <v>0</v>
      </c>
      <c r="G2">
        <v>39</v>
      </c>
    </row>
    <row r="3" spans="1:7" x14ac:dyDescent="0.35">
      <c r="A3" s="37">
        <v>2</v>
      </c>
      <c r="B3" s="38">
        <v>4173.1684539200869</v>
      </c>
      <c r="C3" s="4">
        <v>0.84627399999999997</v>
      </c>
      <c r="D3">
        <f t="shared" ref="D3:D25" si="0">C3*400</f>
        <v>338.50959999999998</v>
      </c>
      <c r="F3">
        <v>0</v>
      </c>
      <c r="G3">
        <v>42</v>
      </c>
    </row>
    <row r="4" spans="1:7" x14ac:dyDescent="0.35">
      <c r="A4" s="37">
        <v>3</v>
      </c>
      <c r="B4" s="38">
        <v>4089.201785627165</v>
      </c>
      <c r="C4" s="4">
        <v>0.86858500000000005</v>
      </c>
      <c r="D4">
        <f t="shared" si="0"/>
        <v>347.43400000000003</v>
      </c>
      <c r="F4">
        <v>0</v>
      </c>
      <c r="G4">
        <v>45</v>
      </c>
    </row>
    <row r="5" spans="1:7" x14ac:dyDescent="0.35">
      <c r="A5" s="37">
        <v>4</v>
      </c>
      <c r="B5" s="38">
        <v>4009.3833712250575</v>
      </c>
      <c r="C5" s="4">
        <v>0.833928</v>
      </c>
      <c r="D5">
        <f t="shared" si="0"/>
        <v>333.57119999999998</v>
      </c>
      <c r="F5">
        <v>0</v>
      </c>
      <c r="G5">
        <v>43</v>
      </c>
    </row>
    <row r="6" spans="1:7" x14ac:dyDescent="0.35">
      <c r="A6" s="37">
        <v>5</v>
      </c>
      <c r="B6" s="38">
        <v>4009.3833712250575</v>
      </c>
      <c r="C6" s="4">
        <v>0.92938600000000005</v>
      </c>
      <c r="D6">
        <f t="shared" si="0"/>
        <v>371.75440000000003</v>
      </c>
      <c r="F6">
        <v>0</v>
      </c>
      <c r="G6">
        <v>41</v>
      </c>
    </row>
    <row r="7" spans="1:7" x14ac:dyDescent="0.35">
      <c r="A7" s="37">
        <v>6</v>
      </c>
      <c r="B7" s="38">
        <v>4211.5210225886722</v>
      </c>
      <c r="C7" s="4">
        <v>0.680948</v>
      </c>
      <c r="D7">
        <f t="shared" si="0"/>
        <v>272.37920000000003</v>
      </c>
      <c r="F7">
        <v>4</v>
      </c>
      <c r="G7">
        <v>36</v>
      </c>
    </row>
    <row r="8" spans="1:7" x14ac:dyDescent="0.35">
      <c r="A8" s="37">
        <v>7</v>
      </c>
      <c r="B8" s="38">
        <v>4273.0604107918234</v>
      </c>
      <c r="C8" s="4">
        <v>0.77293400000000001</v>
      </c>
      <c r="D8">
        <f t="shared" si="0"/>
        <v>309.17360000000002</v>
      </c>
      <c r="F8">
        <v>12</v>
      </c>
      <c r="G8">
        <v>30</v>
      </c>
    </row>
    <row r="9" spans="1:7" x14ac:dyDescent="0.35">
      <c r="A9" s="37">
        <v>8</v>
      </c>
      <c r="B9" s="38">
        <v>4224.6919373566861</v>
      </c>
      <c r="C9" s="4">
        <v>0.59332399999999996</v>
      </c>
      <c r="D9">
        <f t="shared" si="0"/>
        <v>237.32959999999997</v>
      </c>
      <c r="F9">
        <v>28</v>
      </c>
      <c r="G9">
        <v>24</v>
      </c>
    </row>
    <row r="10" spans="1:7" x14ac:dyDescent="0.35">
      <c r="A10" s="37">
        <v>9</v>
      </c>
      <c r="B10" s="38">
        <v>4531.4540605942329</v>
      </c>
      <c r="C10" s="4">
        <v>0.77148700000000003</v>
      </c>
      <c r="D10">
        <f t="shared" si="0"/>
        <v>308.59480000000002</v>
      </c>
      <c r="F10">
        <v>48</v>
      </c>
      <c r="G10">
        <v>21</v>
      </c>
    </row>
    <row r="11" spans="1:7" x14ac:dyDescent="0.35">
      <c r="A11" s="37">
        <v>10</v>
      </c>
      <c r="B11" s="38">
        <v>4847.0719129628733</v>
      </c>
      <c r="C11" s="4">
        <v>0.97746599999999995</v>
      </c>
      <c r="D11">
        <f t="shared" si="0"/>
        <v>390.9864</v>
      </c>
      <c r="F11">
        <v>64</v>
      </c>
      <c r="G11">
        <v>18</v>
      </c>
    </row>
    <row r="12" spans="1:7" x14ac:dyDescent="0.35">
      <c r="A12" s="37">
        <v>11</v>
      </c>
      <c r="B12" s="38">
        <v>4980.9845596916621</v>
      </c>
      <c r="C12" s="4">
        <v>0.72166699999999995</v>
      </c>
      <c r="D12">
        <f t="shared" si="0"/>
        <v>288.66679999999997</v>
      </c>
      <c r="F12">
        <v>86</v>
      </c>
      <c r="G12">
        <v>21</v>
      </c>
    </row>
    <row r="13" spans="1:7" x14ac:dyDescent="0.35">
      <c r="A13" s="37">
        <v>12</v>
      </c>
      <c r="B13" s="38">
        <v>5032.1157535249067</v>
      </c>
      <c r="C13" s="4">
        <v>0.45140400000000003</v>
      </c>
      <c r="D13">
        <f t="shared" si="0"/>
        <v>180.5616</v>
      </c>
      <c r="F13">
        <v>150</v>
      </c>
      <c r="G13">
        <v>24</v>
      </c>
    </row>
    <row r="14" spans="1:7" x14ac:dyDescent="0.35">
      <c r="A14" s="37">
        <v>13</v>
      </c>
      <c r="B14" s="38">
        <v>4781.5845889642387</v>
      </c>
      <c r="C14" s="4">
        <v>0.29636099999999999</v>
      </c>
      <c r="D14">
        <f t="shared" si="0"/>
        <v>118.5444</v>
      </c>
      <c r="F14">
        <v>110</v>
      </c>
      <c r="G14">
        <v>27</v>
      </c>
    </row>
    <row r="15" spans="1:7" x14ac:dyDescent="0.35">
      <c r="A15" s="37">
        <v>14</v>
      </c>
      <c r="B15" s="38">
        <v>4955.8112523783966</v>
      </c>
      <c r="C15" s="4">
        <v>0.33506599999999997</v>
      </c>
      <c r="D15">
        <f t="shared" si="0"/>
        <v>134.0264</v>
      </c>
      <c r="F15">
        <v>90</v>
      </c>
      <c r="G15">
        <v>30</v>
      </c>
    </row>
    <row r="16" spans="1:7" x14ac:dyDescent="0.35">
      <c r="A16" s="37">
        <v>15</v>
      </c>
      <c r="B16" s="38">
        <v>5107.4270107820657</v>
      </c>
      <c r="C16" s="4">
        <v>0.31772299999999998</v>
      </c>
      <c r="D16">
        <f t="shared" si="0"/>
        <v>127.08919999999999</v>
      </c>
      <c r="F16">
        <v>48</v>
      </c>
      <c r="G16">
        <v>36</v>
      </c>
    </row>
    <row r="17" spans="1:7" x14ac:dyDescent="0.35">
      <c r="A17" s="37">
        <v>16</v>
      </c>
      <c r="B17" s="38">
        <v>5062.5891437771388</v>
      </c>
      <c r="C17" s="4">
        <v>0.25328899999999999</v>
      </c>
      <c r="D17">
        <f t="shared" si="0"/>
        <v>101.31559999999999</v>
      </c>
      <c r="F17">
        <v>28</v>
      </c>
      <c r="G17">
        <v>42</v>
      </c>
    </row>
    <row r="18" spans="1:7" x14ac:dyDescent="0.35">
      <c r="A18" s="37">
        <v>17</v>
      </c>
      <c r="B18" s="38">
        <v>5000.4488012879938</v>
      </c>
      <c r="C18" s="4">
        <v>0.46349299999999999</v>
      </c>
      <c r="D18">
        <f t="shared" si="0"/>
        <v>185.3972</v>
      </c>
      <c r="F18">
        <v>12</v>
      </c>
      <c r="G18">
        <v>48</v>
      </c>
    </row>
    <row r="19" spans="1:7" x14ac:dyDescent="0.35">
      <c r="A19" s="37">
        <v>18</v>
      </c>
      <c r="B19" s="38">
        <v>4900.5568444162564</v>
      </c>
      <c r="C19" s="4">
        <v>0.54308400000000001</v>
      </c>
      <c r="D19">
        <f t="shared" si="0"/>
        <v>217.2336</v>
      </c>
      <c r="F19">
        <v>4</v>
      </c>
      <c r="G19">
        <v>54</v>
      </c>
    </row>
    <row r="20" spans="1:7" x14ac:dyDescent="0.35">
      <c r="A20" s="37">
        <v>19</v>
      </c>
      <c r="B20" s="38">
        <v>4952.2722993608822</v>
      </c>
      <c r="C20" s="4">
        <v>0.58426</v>
      </c>
      <c r="D20">
        <f t="shared" si="0"/>
        <v>233.70400000000001</v>
      </c>
      <c r="F20">
        <v>0</v>
      </c>
      <c r="G20">
        <v>95</v>
      </c>
    </row>
    <row r="21" spans="1:7" x14ac:dyDescent="0.35">
      <c r="A21" s="37">
        <v>20</v>
      </c>
      <c r="B21" s="38">
        <v>5132.4000000000005</v>
      </c>
      <c r="C21" s="4">
        <v>0.66595800000000005</v>
      </c>
      <c r="D21">
        <f t="shared" si="0"/>
        <v>266.38320000000004</v>
      </c>
      <c r="F21">
        <v>0</v>
      </c>
      <c r="G21">
        <v>80</v>
      </c>
    </row>
    <row r="22" spans="1:7" x14ac:dyDescent="0.35">
      <c r="A22" s="37">
        <v>21</v>
      </c>
      <c r="B22" s="38">
        <v>5080.6845450553747</v>
      </c>
      <c r="C22" s="4">
        <v>0.63874500000000001</v>
      </c>
      <c r="D22">
        <f t="shared" si="0"/>
        <v>255.49799999999999</v>
      </c>
      <c r="F22">
        <v>0</v>
      </c>
      <c r="G22">
        <v>90</v>
      </c>
    </row>
    <row r="23" spans="1:7" x14ac:dyDescent="0.35">
      <c r="A23" s="37">
        <v>22</v>
      </c>
      <c r="B23" s="38">
        <v>4974.2989432599898</v>
      </c>
      <c r="C23" s="4">
        <v>0.493421</v>
      </c>
      <c r="D23">
        <f t="shared" si="0"/>
        <v>197.36840000000001</v>
      </c>
      <c r="F23">
        <v>0</v>
      </c>
      <c r="G23">
        <v>48</v>
      </c>
    </row>
    <row r="24" spans="1:7" x14ac:dyDescent="0.35">
      <c r="A24" s="37">
        <v>23</v>
      </c>
      <c r="B24" s="38">
        <v>4703.5189578962782</v>
      </c>
      <c r="C24" s="4">
        <v>0.54866199999999998</v>
      </c>
      <c r="D24">
        <f t="shared" si="0"/>
        <v>219.4648</v>
      </c>
      <c r="F24">
        <v>0</v>
      </c>
      <c r="G24">
        <v>45</v>
      </c>
    </row>
    <row r="25" spans="1:7" x14ac:dyDescent="0.35">
      <c r="A25" s="37">
        <v>24</v>
      </c>
      <c r="B25" s="38">
        <v>4496.2565019271115</v>
      </c>
      <c r="C25" s="4">
        <v>0.35076800000000002</v>
      </c>
      <c r="D25">
        <f t="shared" si="0"/>
        <v>140.30720000000002</v>
      </c>
      <c r="F25">
        <v>0</v>
      </c>
      <c r="G25">
        <v>42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Compare</vt:lpstr>
      <vt:lpstr>Sheet1</vt:lpstr>
      <vt:lpstr>Dispatch</vt:lpstr>
      <vt:lpstr>Battery</vt:lpstr>
      <vt:lpstr>Sheet5</vt:lpstr>
      <vt:lpstr>Sheet2</vt:lpstr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2026-05-12T15:01:15Z</dcterms:created>
  <dcterms:modified xsi:type="dcterms:W3CDTF">2026-06-10T06:10:07Z</dcterms:modified>
</cp:coreProperties>
</file>