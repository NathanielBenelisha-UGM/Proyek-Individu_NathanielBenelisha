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M\Tugas Akhir\UC Coding\Belajar\"/>
    </mc:Choice>
  </mc:AlternateContent>
  <xr:revisionPtr revIDLastSave="0" documentId="13_ncr:1_{6B75ABB4-0963-42D2-B51E-3CED5C73DC6D}" xr6:coauthVersionLast="47" xr6:coauthVersionMax="47" xr10:uidLastSave="{00000000-0000-0000-0000-000000000000}"/>
  <bookViews>
    <workbookView xWindow="-110" yWindow="-110" windowWidth="19420" windowHeight="11500" firstSheet="2" activeTab="8" xr2:uid="{9DFE2BEF-A344-4142-BB5C-13F8A12EEFA8}"/>
  </bookViews>
  <sheets>
    <sheet name="Constraint" sheetId="1" r:id="rId1"/>
    <sheet name="Total Cost" sheetId="2" r:id="rId2"/>
    <sheet name="Cost of Hour" sheetId="3" r:id="rId3"/>
    <sheet name="Status Unit" sheetId="4" r:id="rId4"/>
    <sheet name="Dispatch" sheetId="5" r:id="rId5"/>
    <sheet name="Inertia" sheetId="6" r:id="rId6"/>
    <sheet name="Reserve" sheetId="7" r:id="rId7"/>
    <sheet name="Battery" sheetId="8" r:id="rId8"/>
    <sheet name="WT" sheetId="9" r:id="rId9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Z34" i="9" l="1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34" i="9"/>
  <c r="AC33" i="9"/>
  <c r="AC32" i="9"/>
  <c r="AC31" i="9"/>
  <c r="AC30" i="9"/>
  <c r="AC29" i="9"/>
  <c r="AC28" i="9"/>
  <c r="AC22" i="9"/>
  <c r="AC21" i="9"/>
  <c r="AC20" i="9"/>
  <c r="AC19" i="9"/>
  <c r="AC18" i="9"/>
  <c r="AC17" i="9"/>
  <c r="AC16" i="9"/>
  <c r="AC10" i="9"/>
  <c r="AC9" i="9"/>
  <c r="AC8" i="9"/>
  <c r="AC7" i="9"/>
  <c r="AC6" i="9"/>
  <c r="AC5" i="9"/>
  <c r="AC4" i="9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22" i="8"/>
  <c r="AC21" i="8"/>
  <c r="AC20" i="8"/>
  <c r="AC19" i="8"/>
  <c r="AC18" i="8"/>
  <c r="AC17" i="8"/>
  <c r="AC16" i="8"/>
  <c r="AC10" i="8"/>
  <c r="AC9" i="8"/>
  <c r="AC8" i="8"/>
  <c r="AC7" i="8"/>
  <c r="AC6" i="8"/>
  <c r="AC5" i="8"/>
  <c r="AC4" i="8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6" i="6"/>
  <c r="AC45" i="6"/>
  <c r="AC44" i="6"/>
  <c r="AC43" i="6"/>
  <c r="AC42" i="6"/>
  <c r="AC41" i="6"/>
  <c r="AC4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F58" i="6"/>
  <c r="AE58" i="6"/>
  <c r="AD58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C58" i="6"/>
  <c r="AC57" i="6"/>
  <c r="AC56" i="6"/>
  <c r="AC55" i="6"/>
  <c r="AC54" i="6"/>
  <c r="AC53" i="6"/>
  <c r="AC52" i="6"/>
  <c r="AC34" i="6"/>
  <c r="AC33" i="6"/>
  <c r="AC32" i="6"/>
  <c r="AC31" i="6"/>
  <c r="AC30" i="6"/>
  <c r="AC29" i="6"/>
  <c r="AC28" i="6"/>
  <c r="AC22" i="6"/>
  <c r="AC21" i="6"/>
  <c r="AC20" i="6"/>
  <c r="AC19" i="6"/>
  <c r="AC18" i="6"/>
  <c r="AC17" i="6"/>
  <c r="AC16" i="6"/>
  <c r="AC10" i="6"/>
  <c r="AC9" i="6"/>
  <c r="AC8" i="6"/>
  <c r="AC7" i="6"/>
  <c r="AC6" i="6"/>
  <c r="AC5" i="6"/>
  <c r="AC4" i="6"/>
  <c r="AZ58" i="6" l="1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M56" i="6"/>
  <c r="AL56" i="6"/>
  <c r="AK56" i="6"/>
  <c r="AJ56" i="6"/>
  <c r="AI56" i="6"/>
  <c r="AH56" i="6"/>
  <c r="AG56" i="6"/>
  <c r="AF56" i="6"/>
  <c r="AE56" i="6"/>
  <c r="AD56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</calcChain>
</file>

<file path=xl/sharedStrings.xml><?xml version="1.0" encoding="utf-8"?>
<sst xmlns="http://schemas.openxmlformats.org/spreadsheetml/2006/main" count="818" uniqueCount="63">
  <si>
    <t>#</t>
  </si>
  <si>
    <t>con_power_balance
con_capacity_upper
con_capacity_lower
con_startup_shutdown_logic
con_ramp_up
con_ramp_down
con_minimum_up_time
con_minimum_down_time
con_n1_spinning_reserve</t>
  </si>
  <si>
    <t>Active Constraints</t>
  </si>
  <si>
    <t>Fuel Cost</t>
  </si>
  <si>
    <t>Fixed Cost</t>
  </si>
  <si>
    <t>Startup Cost</t>
  </si>
  <si>
    <t>Total Cost</t>
  </si>
  <si>
    <t>#1</t>
  </si>
  <si>
    <t>Shutdown Cost</t>
  </si>
  <si>
    <t>Reserve Cost</t>
  </si>
  <si>
    <t>Hour</t>
  </si>
  <si>
    <t>Gen</t>
  </si>
  <si>
    <t>G 01</t>
  </si>
  <si>
    <t>PLTU 1</t>
  </si>
  <si>
    <t>G 02</t>
  </si>
  <si>
    <t>PLTGU 1</t>
  </si>
  <si>
    <t>G 03</t>
  </si>
  <si>
    <t>PLTU 2</t>
  </si>
  <si>
    <t>G 04</t>
  </si>
  <si>
    <t>PLTG 1</t>
  </si>
  <si>
    <t>G 05</t>
  </si>
  <si>
    <t>PLTG 2</t>
  </si>
  <si>
    <t>G 06</t>
  </si>
  <si>
    <t>PLTGU 2</t>
  </si>
  <si>
    <t>G 07</t>
  </si>
  <si>
    <t>PLTGU 3</t>
  </si>
  <si>
    <t>G 08</t>
  </si>
  <si>
    <t>PLTGU 4</t>
  </si>
  <si>
    <t>G 09</t>
  </si>
  <si>
    <t>PLTU 3</t>
  </si>
  <si>
    <t>G 10</t>
  </si>
  <si>
    <t>PLTU 4</t>
  </si>
  <si>
    <t>Battery</t>
  </si>
  <si>
    <t>B 01</t>
  </si>
  <si>
    <t>WT</t>
  </si>
  <si>
    <t>B 02</t>
  </si>
  <si>
    <t>Battery 1</t>
  </si>
  <si>
    <t>Battery 2</t>
  </si>
  <si>
    <t>Wind</t>
  </si>
  <si>
    <t>Thermal</t>
  </si>
  <si>
    <t>Inertia</t>
  </si>
  <si>
    <t>Hasil</t>
  </si>
  <si>
    <t>Power</t>
  </si>
  <si>
    <t>SOC</t>
  </si>
  <si>
    <t>Available</t>
  </si>
  <si>
    <t>Curtailment</t>
  </si>
  <si>
    <t>Used</t>
  </si>
  <si>
    <t>Wind Turbine</t>
  </si>
  <si>
    <t>con_power_balance
con_capacity_upper
con_capacity_lower
con_startup_shutdown_logic
con_ramp_up
con_ramp_down
con_minimum_up_time
con_minimum_down_time
con_n1_spinning_reserve
con_battery</t>
  </si>
  <si>
    <t>#2</t>
  </si>
  <si>
    <t>con_power_balance
con_capacity_upper
con_capacity_lower
con_startup_shutdown_logic
con_ramp_up
con_ramp_down
con_minimum_up_time
con_minimum_down_time
con_n1_spinning_reserve
con_battery
con_wt
con_wt_curtailment</t>
  </si>
  <si>
    <t>#3</t>
  </si>
  <si>
    <t>con_power_balance
con_capacity_upper
con_capacity_lower
con_startup_shutdown_logic
con_ramp_up
con_ramp_down
con_minimum_up_time
con_minimum_down_time
con_n1_spinning_reserve
con_min_inertia</t>
  </si>
  <si>
    <t>#4</t>
  </si>
  <si>
    <t>con_power_balance
con_capacity_upper
con_capacity_lower
con_startup_shutdown_logic
con_ramp_up
con_ramp_down
con_minimum_up_time
con_minimum_down_time
con_n1_spinning_reserve
con_min_inertia
con_battery</t>
  </si>
  <si>
    <t>#5</t>
  </si>
  <si>
    <t>con_power_balance
con_capacity_upper
con_capacity_lower
con_startup_shutdown_logic
con_ramp_up
con_ramp_down
con_minimum_up_time
con_minimum_down_time
con_n1_spinning_reserve
con_min_inertia
con_battery
con_wt
con_wt_curtailment</t>
  </si>
  <si>
    <t>#6</t>
  </si>
  <si>
    <t>con_power_balance
con_capacity_upper
con_capacity_lower
con_startup_shutdown_logic
con_ramp_up
con_ramp_down
con_minimum_up_time
con_minimum_down_time
con_n1_spinning_reserve
con_min_inertia
con_battery
con_wt
con_wt_curtailment
con_battery_vi
con_wt_vi</t>
  </si>
  <si>
    <t>#7</t>
  </si>
  <si>
    <t>Total</t>
  </si>
  <si>
    <t>Virtual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</si>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</sst>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2" fontId="0" fillId="0" borderId="1" xfId="0" applyNumberFormat="1" applyBorder="1"/>
    <xf numFmtId="0" fontId="4" fillId="2" borderId="1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7"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 Cost per Jam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'Cost of Hour'!$A$3</c:f>
              <c:strCache>
                <c:ptCount val="1"/>
                <c:pt idx="0">
                  <c:v>#1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'Cost of Hour'!$B$3:$Y$3</c:f>
              <c:numCache>
                <c:formatCode>0.00</c:formatCode>
                <c:ptCount val="24"/>
                <c:pt idx="0">
                  <c:v>153313.91</c:v>
                </c:pt>
                <c:pt idx="1">
                  <c:v>141564.67000000001</c:v>
                </c:pt>
                <c:pt idx="2">
                  <c:v>138388.5</c:v>
                </c:pt>
                <c:pt idx="3">
                  <c:v>136306.09</c:v>
                </c:pt>
                <c:pt idx="4">
                  <c:v>136306.09</c:v>
                </c:pt>
                <c:pt idx="5">
                  <c:v>141579.72</c:v>
                </c:pt>
                <c:pt idx="6">
                  <c:v>143185.24</c:v>
                </c:pt>
                <c:pt idx="7">
                  <c:v>141923.34</c:v>
                </c:pt>
                <c:pt idx="8">
                  <c:v>154416.73000000001</c:v>
                </c:pt>
                <c:pt idx="9">
                  <c:v>236345.78</c:v>
                </c:pt>
                <c:pt idx="10">
                  <c:v>181368.91</c:v>
                </c:pt>
                <c:pt idx="11">
                  <c:v>183989.43</c:v>
                </c:pt>
                <c:pt idx="12">
                  <c:v>171149.5</c:v>
                </c:pt>
                <c:pt idx="13">
                  <c:v>180078.76</c:v>
                </c:pt>
                <c:pt idx="14">
                  <c:v>187849.19</c:v>
                </c:pt>
                <c:pt idx="15">
                  <c:v>185551.22</c:v>
                </c:pt>
                <c:pt idx="16">
                  <c:v>182366.47</c:v>
                </c:pt>
                <c:pt idx="17">
                  <c:v>177246.93</c:v>
                </c:pt>
                <c:pt idx="18">
                  <c:v>179897.39</c:v>
                </c:pt>
                <c:pt idx="19">
                  <c:v>189129.08</c:v>
                </c:pt>
                <c:pt idx="20">
                  <c:v>186478.62</c:v>
                </c:pt>
                <c:pt idx="21">
                  <c:v>181026.27</c:v>
                </c:pt>
                <c:pt idx="22">
                  <c:v>167148.57</c:v>
                </c:pt>
                <c:pt idx="23">
                  <c:v>152612.82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07-4888-8FAF-C11B5B195F08}"/>
            </c:ext>
          </c:extLst>
        </c:ser>
        <c:ser>
          <c:idx val="3"/>
          <c:order val="1"/>
          <c:tx>
            <c:strRef>
              <c:f>'Cost of Hour'!$A$4</c:f>
              <c:strCache>
                <c:ptCount val="1"/>
                <c:pt idx="0">
                  <c:v>#2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'Cost of Hour'!$B$4:$Y$4</c:f>
              <c:numCache>
                <c:formatCode>General</c:formatCode>
                <c:ptCount val="24"/>
                <c:pt idx="0">
                  <c:v>153298.29</c:v>
                </c:pt>
                <c:pt idx="1">
                  <c:v>143929.01</c:v>
                </c:pt>
                <c:pt idx="2">
                  <c:v>141738.37</c:v>
                </c:pt>
                <c:pt idx="3">
                  <c:v>140870.15</c:v>
                </c:pt>
                <c:pt idx="4">
                  <c:v>139655.97</c:v>
                </c:pt>
                <c:pt idx="5">
                  <c:v>144929.60000000001</c:v>
                </c:pt>
                <c:pt idx="6">
                  <c:v>148060.32</c:v>
                </c:pt>
                <c:pt idx="7">
                  <c:v>147360.35999999999</c:v>
                </c:pt>
                <c:pt idx="8">
                  <c:v>155451.75</c:v>
                </c:pt>
                <c:pt idx="9">
                  <c:v>170602.41</c:v>
                </c:pt>
                <c:pt idx="10">
                  <c:v>185468.06</c:v>
                </c:pt>
                <c:pt idx="11">
                  <c:v>183943.56</c:v>
                </c:pt>
                <c:pt idx="12">
                  <c:v>177253.73</c:v>
                </c:pt>
                <c:pt idx="13">
                  <c:v>182082.92</c:v>
                </c:pt>
                <c:pt idx="14">
                  <c:v>185753.29</c:v>
                </c:pt>
                <c:pt idx="15">
                  <c:v>185833.91</c:v>
                </c:pt>
                <c:pt idx="16">
                  <c:v>185067.09</c:v>
                </c:pt>
                <c:pt idx="17">
                  <c:v>183351.15</c:v>
                </c:pt>
                <c:pt idx="18">
                  <c:v>189309.7</c:v>
                </c:pt>
                <c:pt idx="19">
                  <c:v>194924.37</c:v>
                </c:pt>
                <c:pt idx="20">
                  <c:v>185833.91</c:v>
                </c:pt>
                <c:pt idx="21">
                  <c:v>183030.43</c:v>
                </c:pt>
                <c:pt idx="22">
                  <c:v>161115.26999999999</c:v>
                </c:pt>
                <c:pt idx="23">
                  <c:v>151020.9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07-4888-8FAF-C11B5B195F08}"/>
            </c:ext>
          </c:extLst>
        </c:ser>
        <c:ser>
          <c:idx val="4"/>
          <c:order val="2"/>
          <c:tx>
            <c:strRef>
              <c:f>'Cost of Hour'!$A$5</c:f>
              <c:strCache>
                <c:ptCount val="1"/>
                <c:pt idx="0">
                  <c:v>#3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'Cost of Hour'!$B$5:$Y$5</c:f>
              <c:numCache>
                <c:formatCode>General</c:formatCode>
                <c:ptCount val="24"/>
                <c:pt idx="0">
                  <c:v>134328.35999999999</c:v>
                </c:pt>
                <c:pt idx="1">
                  <c:v>135097.51999999999</c:v>
                </c:pt>
                <c:pt idx="2">
                  <c:v>132674.06</c:v>
                </c:pt>
                <c:pt idx="3">
                  <c:v>131605.56</c:v>
                </c:pt>
                <c:pt idx="4">
                  <c:v>132044.29999999999</c:v>
                </c:pt>
                <c:pt idx="5">
                  <c:v>137823.41</c:v>
                </c:pt>
                <c:pt idx="6">
                  <c:v>138468.99</c:v>
                </c:pt>
                <c:pt idx="7">
                  <c:v>141168.6</c:v>
                </c:pt>
                <c:pt idx="8">
                  <c:v>145225.4</c:v>
                </c:pt>
                <c:pt idx="9">
                  <c:v>151589.04999999999</c:v>
                </c:pt>
                <c:pt idx="10">
                  <c:v>160621.09</c:v>
                </c:pt>
                <c:pt idx="11">
                  <c:v>170832.12</c:v>
                </c:pt>
                <c:pt idx="12">
                  <c:v>166295.71</c:v>
                </c:pt>
                <c:pt idx="13">
                  <c:v>167256.39000000001</c:v>
                </c:pt>
                <c:pt idx="14">
                  <c:v>181765.49</c:v>
                </c:pt>
                <c:pt idx="15">
                  <c:v>180246.47</c:v>
                </c:pt>
                <c:pt idx="16">
                  <c:v>173061.4</c:v>
                </c:pt>
                <c:pt idx="17">
                  <c:v>167335.23000000001</c:v>
                </c:pt>
                <c:pt idx="18">
                  <c:v>165041.51</c:v>
                </c:pt>
                <c:pt idx="19">
                  <c:v>170292.08</c:v>
                </c:pt>
                <c:pt idx="20">
                  <c:v>167430.73000000001</c:v>
                </c:pt>
                <c:pt idx="21">
                  <c:v>163932.54999999999</c:v>
                </c:pt>
                <c:pt idx="22">
                  <c:v>153022.46</c:v>
                </c:pt>
                <c:pt idx="23">
                  <c:v>149232.46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07-4888-8FAF-C11B5B195F08}"/>
            </c:ext>
          </c:extLst>
        </c:ser>
        <c:ser>
          <c:idx val="5"/>
          <c:order val="3"/>
          <c:tx>
            <c:strRef>
              <c:f>'Cost of Hour'!$A$6</c:f>
              <c:strCache>
                <c:ptCount val="1"/>
                <c:pt idx="0">
                  <c:v>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'Cost of Hour'!$B$6:$Y$6</c:f>
              <c:numCache>
                <c:formatCode>General</c:formatCode>
                <c:ptCount val="24"/>
                <c:pt idx="0">
                  <c:v>166994.82</c:v>
                </c:pt>
                <c:pt idx="1">
                  <c:v>154271.57</c:v>
                </c:pt>
                <c:pt idx="2">
                  <c:v>150768.47</c:v>
                </c:pt>
                <c:pt idx="3">
                  <c:v>148686.07</c:v>
                </c:pt>
                <c:pt idx="4">
                  <c:v>148686.07</c:v>
                </c:pt>
                <c:pt idx="5">
                  <c:v>153959.70000000001</c:v>
                </c:pt>
                <c:pt idx="6">
                  <c:v>155565.22</c:v>
                </c:pt>
                <c:pt idx="7">
                  <c:v>154303.32</c:v>
                </c:pt>
                <c:pt idx="8">
                  <c:v>164950.85999999999</c:v>
                </c:pt>
                <c:pt idx="9">
                  <c:v>181126.53</c:v>
                </c:pt>
                <c:pt idx="10">
                  <c:v>187989.67</c:v>
                </c:pt>
                <c:pt idx="11">
                  <c:v>190610.18</c:v>
                </c:pt>
                <c:pt idx="12">
                  <c:v>177770.25</c:v>
                </c:pt>
                <c:pt idx="13">
                  <c:v>186699.51</c:v>
                </c:pt>
                <c:pt idx="14">
                  <c:v>194469.95</c:v>
                </c:pt>
                <c:pt idx="15">
                  <c:v>192171.97</c:v>
                </c:pt>
                <c:pt idx="16">
                  <c:v>188987.23</c:v>
                </c:pt>
                <c:pt idx="17">
                  <c:v>183867.68</c:v>
                </c:pt>
                <c:pt idx="18">
                  <c:v>186518.14</c:v>
                </c:pt>
                <c:pt idx="19">
                  <c:v>195749.83</c:v>
                </c:pt>
                <c:pt idx="20">
                  <c:v>193099.37</c:v>
                </c:pt>
                <c:pt idx="21">
                  <c:v>187647.02</c:v>
                </c:pt>
                <c:pt idx="22">
                  <c:v>173769.33</c:v>
                </c:pt>
                <c:pt idx="23">
                  <c:v>163146.95000000001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07-4888-8FAF-C11B5B195F08}"/>
            </c:ext>
          </c:extLst>
        </c:ser>
        <c:ser>
          <c:idx val="6"/>
          <c:order val="4"/>
          <c:tx>
            <c:strRef>
              <c:f>'Cost of Hour'!$A$7</c:f>
              <c:strCache>
                <c:ptCount val="1"/>
                <c:pt idx="0">
                  <c:v>#5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'Cost of Hour'!$B$7:$Y$7</c:f>
              <c:numCache>
                <c:formatCode>General</c:formatCode>
                <c:ptCount val="24"/>
                <c:pt idx="0">
                  <c:v>167449.32</c:v>
                </c:pt>
                <c:pt idx="1">
                  <c:v>151969.78</c:v>
                </c:pt>
                <c:pt idx="2">
                  <c:v>152662.32</c:v>
                </c:pt>
                <c:pt idx="3">
                  <c:v>149531.6</c:v>
                </c:pt>
                <c:pt idx="4">
                  <c:v>150773.21</c:v>
                </c:pt>
                <c:pt idx="5">
                  <c:v>152434.5</c:v>
                </c:pt>
                <c:pt idx="6">
                  <c:v>155565.22</c:v>
                </c:pt>
                <c:pt idx="7">
                  <c:v>155828.51999999999</c:v>
                </c:pt>
                <c:pt idx="8">
                  <c:v>164950.85999999999</c:v>
                </c:pt>
                <c:pt idx="9">
                  <c:v>180326.11</c:v>
                </c:pt>
                <c:pt idx="10">
                  <c:v>188790.1</c:v>
                </c:pt>
                <c:pt idx="11">
                  <c:v>186510.12</c:v>
                </c:pt>
                <c:pt idx="12">
                  <c:v>181870.32</c:v>
                </c:pt>
                <c:pt idx="13">
                  <c:v>186699.51</c:v>
                </c:pt>
                <c:pt idx="14">
                  <c:v>191394.9</c:v>
                </c:pt>
                <c:pt idx="15">
                  <c:v>192171.97</c:v>
                </c:pt>
                <c:pt idx="16">
                  <c:v>188987.23</c:v>
                </c:pt>
                <c:pt idx="17">
                  <c:v>186942.73</c:v>
                </c:pt>
                <c:pt idx="18">
                  <c:v>185493.12</c:v>
                </c:pt>
                <c:pt idx="19">
                  <c:v>191649.77</c:v>
                </c:pt>
                <c:pt idx="20">
                  <c:v>191649.77</c:v>
                </c:pt>
                <c:pt idx="21">
                  <c:v>184740.31</c:v>
                </c:pt>
                <c:pt idx="22">
                  <c:v>174819.97</c:v>
                </c:pt>
                <c:pt idx="23">
                  <c:v>163146.95000000001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B07-4888-8FAF-C11B5B195F08}"/>
            </c:ext>
          </c:extLst>
        </c:ser>
        <c:ser>
          <c:idx val="7"/>
          <c:order val="5"/>
          <c:tx>
            <c:strRef>
              <c:f>'Cost of Hour'!$A$8</c:f>
              <c:strCache>
                <c:ptCount val="1"/>
                <c:pt idx="0">
                  <c:v>#6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'Cost of Hour'!$B$8:$Y$8</c:f>
              <c:numCache>
                <c:formatCode>General</c:formatCode>
                <c:ptCount val="24"/>
                <c:pt idx="0">
                  <c:v>160633.54999999999</c:v>
                </c:pt>
                <c:pt idx="1">
                  <c:v>142040.48000000001</c:v>
                </c:pt>
                <c:pt idx="2">
                  <c:v>143791.31</c:v>
                </c:pt>
                <c:pt idx="3">
                  <c:v>140660.59</c:v>
                </c:pt>
                <c:pt idx="4">
                  <c:v>138987.25</c:v>
                </c:pt>
                <c:pt idx="5">
                  <c:v>146853.51</c:v>
                </c:pt>
                <c:pt idx="6">
                  <c:v>149026.48000000001</c:v>
                </c:pt>
                <c:pt idx="7">
                  <c:v>148111.54999999999</c:v>
                </c:pt>
                <c:pt idx="8">
                  <c:v>154255.51</c:v>
                </c:pt>
                <c:pt idx="9">
                  <c:v>161088.16</c:v>
                </c:pt>
                <c:pt idx="10">
                  <c:v>173195.26</c:v>
                </c:pt>
                <c:pt idx="11">
                  <c:v>178281.2</c:v>
                </c:pt>
                <c:pt idx="12">
                  <c:v>171694.76</c:v>
                </c:pt>
                <c:pt idx="13">
                  <c:v>179830.55</c:v>
                </c:pt>
                <c:pt idx="14">
                  <c:v>187956.52</c:v>
                </c:pt>
                <c:pt idx="15">
                  <c:v>190054.51</c:v>
                </c:pt>
                <c:pt idx="16">
                  <c:v>179485.47</c:v>
                </c:pt>
                <c:pt idx="17">
                  <c:v>172734.28</c:v>
                </c:pt>
                <c:pt idx="18">
                  <c:v>173515.6</c:v>
                </c:pt>
                <c:pt idx="19">
                  <c:v>179022.42</c:v>
                </c:pt>
                <c:pt idx="20">
                  <c:v>175904.82</c:v>
                </c:pt>
                <c:pt idx="21">
                  <c:v>176250.46</c:v>
                </c:pt>
                <c:pt idx="22">
                  <c:v>162521.57</c:v>
                </c:pt>
                <c:pt idx="23">
                  <c:v>158262.56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B07-4888-8FAF-C11B5B195F08}"/>
            </c:ext>
          </c:extLst>
        </c:ser>
        <c:ser>
          <c:idx val="8"/>
          <c:order val="6"/>
          <c:tx>
            <c:strRef>
              <c:f>'Cost of Hour'!$A$9</c:f>
              <c:strCache>
                <c:ptCount val="1"/>
                <c:pt idx="0">
                  <c:v>#7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'Cost of Hour'!$B$9:$Y$9</c:f>
              <c:numCache>
                <c:formatCode>General</c:formatCode>
                <c:ptCount val="24"/>
                <c:pt idx="0">
                  <c:v>160633.54999999999</c:v>
                </c:pt>
                <c:pt idx="1">
                  <c:v>144127.63</c:v>
                </c:pt>
                <c:pt idx="2">
                  <c:v>141704.16</c:v>
                </c:pt>
                <c:pt idx="3">
                  <c:v>137896.28</c:v>
                </c:pt>
                <c:pt idx="4">
                  <c:v>139117.70000000001</c:v>
                </c:pt>
                <c:pt idx="5">
                  <c:v>146188.24</c:v>
                </c:pt>
                <c:pt idx="6">
                  <c:v>149586.23999999999</c:v>
                </c:pt>
                <c:pt idx="7">
                  <c:v>149422.5</c:v>
                </c:pt>
                <c:pt idx="8">
                  <c:v>155683.94</c:v>
                </c:pt>
                <c:pt idx="9">
                  <c:v>160645.31</c:v>
                </c:pt>
                <c:pt idx="10">
                  <c:v>172752.41</c:v>
                </c:pt>
                <c:pt idx="11">
                  <c:v>179770.53</c:v>
                </c:pt>
                <c:pt idx="12">
                  <c:v>168509</c:v>
                </c:pt>
                <c:pt idx="13">
                  <c:v>179387.71</c:v>
                </c:pt>
                <c:pt idx="14">
                  <c:v>187513.68</c:v>
                </c:pt>
                <c:pt idx="15">
                  <c:v>186536.62</c:v>
                </c:pt>
                <c:pt idx="16">
                  <c:v>179042.62</c:v>
                </c:pt>
                <c:pt idx="17">
                  <c:v>172291.44</c:v>
                </c:pt>
                <c:pt idx="18">
                  <c:v>174097.77</c:v>
                </c:pt>
                <c:pt idx="19">
                  <c:v>181654.63</c:v>
                </c:pt>
                <c:pt idx="20">
                  <c:v>176819.13</c:v>
                </c:pt>
                <c:pt idx="21">
                  <c:v>176174.58</c:v>
                </c:pt>
                <c:pt idx="22">
                  <c:v>161164.42000000001</c:v>
                </c:pt>
                <c:pt idx="23">
                  <c:v>158262.56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B07-4888-8FAF-C11B5B195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648528"/>
        <c:axId val="954649488"/>
      </c:scatterChart>
      <c:valAx>
        <c:axId val="954648528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649488"/>
        <c:crosses val="autoZero"/>
        <c:crossBetween val="midCat"/>
        <c:majorUnit val="1"/>
      </c:valAx>
      <c:valAx>
        <c:axId val="954649488"/>
        <c:scaling>
          <c:orientation val="minMax"/>
          <c:max val="240000"/>
          <c:min val="1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648528"/>
        <c:crosses val="autoZero"/>
        <c:crossBetween val="midCat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</a:t>
            </a:r>
            <a:r>
              <a:rPr lang="en-ID" baseline="0"/>
              <a:t> </a:t>
            </a:r>
            <a:r>
              <a:rPr lang="en-ID"/>
              <a:t>Inersia Sistem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Inertia!$AB$52</c:f>
              <c:strCache>
                <c:ptCount val="1"/>
                <c:pt idx="0">
                  <c:v>#1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Inertia!$AC$52:$AZ$52</c:f>
              <c:numCache>
                <c:formatCode>General</c:formatCode>
                <c:ptCount val="24"/>
                <c:pt idx="0">
                  <c:v>32565</c:v>
                </c:pt>
                <c:pt idx="1">
                  <c:v>32565</c:v>
                </c:pt>
                <c:pt idx="2">
                  <c:v>32565</c:v>
                </c:pt>
                <c:pt idx="3">
                  <c:v>32565</c:v>
                </c:pt>
                <c:pt idx="4">
                  <c:v>32565</c:v>
                </c:pt>
                <c:pt idx="5">
                  <c:v>32565</c:v>
                </c:pt>
                <c:pt idx="6">
                  <c:v>32565</c:v>
                </c:pt>
                <c:pt idx="7">
                  <c:v>32565</c:v>
                </c:pt>
                <c:pt idx="8">
                  <c:v>32565</c:v>
                </c:pt>
                <c:pt idx="9">
                  <c:v>39522</c:v>
                </c:pt>
                <c:pt idx="10">
                  <c:v>39522</c:v>
                </c:pt>
                <c:pt idx="11">
                  <c:v>39522</c:v>
                </c:pt>
                <c:pt idx="12">
                  <c:v>39522</c:v>
                </c:pt>
                <c:pt idx="13">
                  <c:v>39522</c:v>
                </c:pt>
                <c:pt idx="14">
                  <c:v>39522</c:v>
                </c:pt>
                <c:pt idx="15">
                  <c:v>39522</c:v>
                </c:pt>
                <c:pt idx="16">
                  <c:v>39522</c:v>
                </c:pt>
                <c:pt idx="17">
                  <c:v>39522</c:v>
                </c:pt>
                <c:pt idx="18">
                  <c:v>39522</c:v>
                </c:pt>
                <c:pt idx="19">
                  <c:v>39522</c:v>
                </c:pt>
                <c:pt idx="20">
                  <c:v>39522</c:v>
                </c:pt>
                <c:pt idx="21">
                  <c:v>39522</c:v>
                </c:pt>
                <c:pt idx="22">
                  <c:v>39522</c:v>
                </c:pt>
                <c:pt idx="23">
                  <c:v>32565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15-4893-9B95-9E92230BCFE4}"/>
            </c:ext>
          </c:extLst>
        </c:ser>
        <c:ser>
          <c:idx val="3"/>
          <c:order val="1"/>
          <c:tx>
            <c:strRef>
              <c:f>Inertia!$AB$53</c:f>
              <c:strCache>
                <c:ptCount val="1"/>
                <c:pt idx="0">
                  <c:v>#2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Inertia!$AC$53:$AZ$53</c:f>
              <c:numCache>
                <c:formatCode>General</c:formatCode>
                <c:ptCount val="24"/>
                <c:pt idx="0">
                  <c:v>35400</c:v>
                </c:pt>
                <c:pt idx="1">
                  <c:v>35400</c:v>
                </c:pt>
                <c:pt idx="2">
                  <c:v>35400</c:v>
                </c:pt>
                <c:pt idx="3">
                  <c:v>35400</c:v>
                </c:pt>
                <c:pt idx="4">
                  <c:v>35400</c:v>
                </c:pt>
                <c:pt idx="5">
                  <c:v>35400</c:v>
                </c:pt>
                <c:pt idx="6">
                  <c:v>35400</c:v>
                </c:pt>
                <c:pt idx="7">
                  <c:v>35400</c:v>
                </c:pt>
                <c:pt idx="8">
                  <c:v>35400</c:v>
                </c:pt>
                <c:pt idx="9">
                  <c:v>35400</c:v>
                </c:pt>
                <c:pt idx="10">
                  <c:v>36180</c:v>
                </c:pt>
                <c:pt idx="11">
                  <c:v>36180</c:v>
                </c:pt>
                <c:pt idx="12">
                  <c:v>36180</c:v>
                </c:pt>
                <c:pt idx="13">
                  <c:v>36180</c:v>
                </c:pt>
                <c:pt idx="14">
                  <c:v>36180</c:v>
                </c:pt>
                <c:pt idx="15">
                  <c:v>36180</c:v>
                </c:pt>
                <c:pt idx="16">
                  <c:v>36180</c:v>
                </c:pt>
                <c:pt idx="17">
                  <c:v>36180</c:v>
                </c:pt>
                <c:pt idx="18">
                  <c:v>36828</c:v>
                </c:pt>
                <c:pt idx="19">
                  <c:v>36828</c:v>
                </c:pt>
                <c:pt idx="20">
                  <c:v>36180</c:v>
                </c:pt>
                <c:pt idx="21">
                  <c:v>36180</c:v>
                </c:pt>
                <c:pt idx="22">
                  <c:v>35400</c:v>
                </c:pt>
                <c:pt idx="23">
                  <c:v>35400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15-4893-9B95-9E92230BCFE4}"/>
            </c:ext>
          </c:extLst>
        </c:ser>
        <c:ser>
          <c:idx val="4"/>
          <c:order val="2"/>
          <c:tx>
            <c:strRef>
              <c:f>Inertia!$AB$54</c:f>
              <c:strCache>
                <c:ptCount val="1"/>
                <c:pt idx="0">
                  <c:v>#3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Inertia!$AC$54:$AZ$54</c:f>
              <c:numCache>
                <c:formatCode>General</c:formatCode>
                <c:ptCount val="24"/>
                <c:pt idx="0">
                  <c:v>35400</c:v>
                </c:pt>
                <c:pt idx="1">
                  <c:v>35400</c:v>
                </c:pt>
                <c:pt idx="2">
                  <c:v>35400</c:v>
                </c:pt>
                <c:pt idx="3">
                  <c:v>35400</c:v>
                </c:pt>
                <c:pt idx="4">
                  <c:v>35400</c:v>
                </c:pt>
                <c:pt idx="5">
                  <c:v>35400</c:v>
                </c:pt>
                <c:pt idx="6">
                  <c:v>35400</c:v>
                </c:pt>
                <c:pt idx="7">
                  <c:v>35400</c:v>
                </c:pt>
                <c:pt idx="8">
                  <c:v>35400</c:v>
                </c:pt>
                <c:pt idx="9">
                  <c:v>35400</c:v>
                </c:pt>
                <c:pt idx="10">
                  <c:v>35400</c:v>
                </c:pt>
                <c:pt idx="11">
                  <c:v>35400</c:v>
                </c:pt>
                <c:pt idx="12">
                  <c:v>35400</c:v>
                </c:pt>
                <c:pt idx="13">
                  <c:v>35400</c:v>
                </c:pt>
                <c:pt idx="14">
                  <c:v>36048</c:v>
                </c:pt>
                <c:pt idx="15">
                  <c:v>36048</c:v>
                </c:pt>
                <c:pt idx="16">
                  <c:v>35400</c:v>
                </c:pt>
                <c:pt idx="17">
                  <c:v>35400</c:v>
                </c:pt>
                <c:pt idx="18">
                  <c:v>35400</c:v>
                </c:pt>
                <c:pt idx="19">
                  <c:v>35400</c:v>
                </c:pt>
                <c:pt idx="20">
                  <c:v>35400</c:v>
                </c:pt>
                <c:pt idx="21">
                  <c:v>35400</c:v>
                </c:pt>
                <c:pt idx="22">
                  <c:v>35400</c:v>
                </c:pt>
                <c:pt idx="23">
                  <c:v>35400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15-4893-9B95-9E92230BCFE4}"/>
            </c:ext>
          </c:extLst>
        </c:ser>
        <c:ser>
          <c:idx val="5"/>
          <c:order val="3"/>
          <c:tx>
            <c:strRef>
              <c:f>Inertia!$AB$55</c:f>
              <c:strCache>
                <c:ptCount val="1"/>
                <c:pt idx="0">
                  <c:v>#4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Inertia!$AC$55:$AZ$55</c:f>
              <c:numCache>
                <c:formatCode>General</c:formatCode>
                <c:ptCount val="24"/>
                <c:pt idx="0">
                  <c:v>49647</c:v>
                </c:pt>
                <c:pt idx="1">
                  <c:v>42690</c:v>
                </c:pt>
                <c:pt idx="2">
                  <c:v>42690</c:v>
                </c:pt>
                <c:pt idx="3">
                  <c:v>42690</c:v>
                </c:pt>
                <c:pt idx="4">
                  <c:v>42690</c:v>
                </c:pt>
                <c:pt idx="5">
                  <c:v>42690</c:v>
                </c:pt>
                <c:pt idx="6">
                  <c:v>42690</c:v>
                </c:pt>
                <c:pt idx="7">
                  <c:v>42690</c:v>
                </c:pt>
                <c:pt idx="8">
                  <c:v>42690</c:v>
                </c:pt>
                <c:pt idx="9">
                  <c:v>42690</c:v>
                </c:pt>
                <c:pt idx="10">
                  <c:v>42690</c:v>
                </c:pt>
                <c:pt idx="11">
                  <c:v>42690</c:v>
                </c:pt>
                <c:pt idx="12">
                  <c:v>42690</c:v>
                </c:pt>
                <c:pt idx="13">
                  <c:v>42690</c:v>
                </c:pt>
                <c:pt idx="14">
                  <c:v>42690</c:v>
                </c:pt>
                <c:pt idx="15">
                  <c:v>42690</c:v>
                </c:pt>
                <c:pt idx="16">
                  <c:v>42690</c:v>
                </c:pt>
                <c:pt idx="17">
                  <c:v>42690</c:v>
                </c:pt>
                <c:pt idx="18">
                  <c:v>42690</c:v>
                </c:pt>
                <c:pt idx="19">
                  <c:v>42690</c:v>
                </c:pt>
                <c:pt idx="20">
                  <c:v>42690</c:v>
                </c:pt>
                <c:pt idx="21">
                  <c:v>42690</c:v>
                </c:pt>
                <c:pt idx="22">
                  <c:v>42690</c:v>
                </c:pt>
                <c:pt idx="23">
                  <c:v>42690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15-4893-9B95-9E92230BCFE4}"/>
            </c:ext>
          </c:extLst>
        </c:ser>
        <c:ser>
          <c:idx val="6"/>
          <c:order val="4"/>
          <c:tx>
            <c:strRef>
              <c:f>Inertia!$AB$56</c:f>
              <c:strCache>
                <c:ptCount val="1"/>
                <c:pt idx="0">
                  <c:v>#5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Inertia!$AC$56:$AZ$56</c:f>
              <c:numCache>
                <c:formatCode>General</c:formatCode>
                <c:ptCount val="24"/>
                <c:pt idx="0">
                  <c:v>49647</c:v>
                </c:pt>
                <c:pt idx="1">
                  <c:v>42690</c:v>
                </c:pt>
                <c:pt idx="2">
                  <c:v>42690</c:v>
                </c:pt>
                <c:pt idx="3">
                  <c:v>42690</c:v>
                </c:pt>
                <c:pt idx="4">
                  <c:v>42690</c:v>
                </c:pt>
                <c:pt idx="5">
                  <c:v>42690</c:v>
                </c:pt>
                <c:pt idx="6">
                  <c:v>42690</c:v>
                </c:pt>
                <c:pt idx="7">
                  <c:v>42690</c:v>
                </c:pt>
                <c:pt idx="8">
                  <c:v>42690</c:v>
                </c:pt>
                <c:pt idx="9">
                  <c:v>42690</c:v>
                </c:pt>
                <c:pt idx="10">
                  <c:v>42690</c:v>
                </c:pt>
                <c:pt idx="11">
                  <c:v>42690</c:v>
                </c:pt>
                <c:pt idx="12">
                  <c:v>42690</c:v>
                </c:pt>
                <c:pt idx="13">
                  <c:v>42690</c:v>
                </c:pt>
                <c:pt idx="14">
                  <c:v>42690</c:v>
                </c:pt>
                <c:pt idx="15">
                  <c:v>42690</c:v>
                </c:pt>
                <c:pt idx="16">
                  <c:v>42690</c:v>
                </c:pt>
                <c:pt idx="17">
                  <c:v>42690</c:v>
                </c:pt>
                <c:pt idx="18">
                  <c:v>42690</c:v>
                </c:pt>
                <c:pt idx="19">
                  <c:v>42690</c:v>
                </c:pt>
                <c:pt idx="20">
                  <c:v>42690</c:v>
                </c:pt>
                <c:pt idx="21">
                  <c:v>42690</c:v>
                </c:pt>
                <c:pt idx="22">
                  <c:v>42690</c:v>
                </c:pt>
                <c:pt idx="23">
                  <c:v>42690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15-4893-9B95-9E92230BCFE4}"/>
            </c:ext>
          </c:extLst>
        </c:ser>
        <c:ser>
          <c:idx val="7"/>
          <c:order val="5"/>
          <c:tx>
            <c:strRef>
              <c:f>Inertia!$AB$57</c:f>
              <c:strCache>
                <c:ptCount val="1"/>
                <c:pt idx="0">
                  <c:v>#6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Inertia!$AC$57:$AZ$57</c:f>
              <c:numCache>
                <c:formatCode>General</c:formatCode>
                <c:ptCount val="24"/>
                <c:pt idx="0">
                  <c:v>49647</c:v>
                </c:pt>
                <c:pt idx="1">
                  <c:v>42690</c:v>
                </c:pt>
                <c:pt idx="2">
                  <c:v>42690</c:v>
                </c:pt>
                <c:pt idx="3">
                  <c:v>42690</c:v>
                </c:pt>
                <c:pt idx="4">
                  <c:v>42690</c:v>
                </c:pt>
                <c:pt idx="5">
                  <c:v>42690</c:v>
                </c:pt>
                <c:pt idx="6">
                  <c:v>42690</c:v>
                </c:pt>
                <c:pt idx="7">
                  <c:v>42690</c:v>
                </c:pt>
                <c:pt idx="8">
                  <c:v>42690</c:v>
                </c:pt>
                <c:pt idx="9">
                  <c:v>42690</c:v>
                </c:pt>
                <c:pt idx="10">
                  <c:v>42690</c:v>
                </c:pt>
                <c:pt idx="11">
                  <c:v>42690</c:v>
                </c:pt>
                <c:pt idx="12">
                  <c:v>42690</c:v>
                </c:pt>
                <c:pt idx="13">
                  <c:v>42690</c:v>
                </c:pt>
                <c:pt idx="14">
                  <c:v>42690</c:v>
                </c:pt>
                <c:pt idx="15">
                  <c:v>42690</c:v>
                </c:pt>
                <c:pt idx="16">
                  <c:v>42690</c:v>
                </c:pt>
                <c:pt idx="17">
                  <c:v>42690</c:v>
                </c:pt>
                <c:pt idx="18">
                  <c:v>42690</c:v>
                </c:pt>
                <c:pt idx="19">
                  <c:v>42690</c:v>
                </c:pt>
                <c:pt idx="20">
                  <c:v>42690</c:v>
                </c:pt>
                <c:pt idx="21">
                  <c:v>42690</c:v>
                </c:pt>
                <c:pt idx="22">
                  <c:v>42690</c:v>
                </c:pt>
                <c:pt idx="23">
                  <c:v>42690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15-4893-9B95-9E92230BCFE4}"/>
            </c:ext>
          </c:extLst>
        </c:ser>
        <c:ser>
          <c:idx val="8"/>
          <c:order val="6"/>
          <c:tx>
            <c:strRef>
              <c:f>Inertia!$AB$58</c:f>
              <c:strCache>
                <c:ptCount val="1"/>
                <c:pt idx="0">
                  <c:v>#7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Inertia!$AC$58:$AZ$58</c:f>
              <c:numCache>
                <c:formatCode>General</c:formatCode>
                <c:ptCount val="24"/>
                <c:pt idx="0">
                  <c:v>49951.692661365079</c:v>
                </c:pt>
                <c:pt idx="1">
                  <c:v>43090</c:v>
                </c:pt>
                <c:pt idx="2">
                  <c:v>43090</c:v>
                </c:pt>
                <c:pt idx="3">
                  <c:v>42690</c:v>
                </c:pt>
                <c:pt idx="4">
                  <c:v>42690</c:v>
                </c:pt>
                <c:pt idx="5">
                  <c:v>42690</c:v>
                </c:pt>
                <c:pt idx="6">
                  <c:v>42690</c:v>
                </c:pt>
                <c:pt idx="7">
                  <c:v>42690</c:v>
                </c:pt>
                <c:pt idx="8">
                  <c:v>42790</c:v>
                </c:pt>
                <c:pt idx="9">
                  <c:v>43090</c:v>
                </c:pt>
                <c:pt idx="10">
                  <c:v>43090</c:v>
                </c:pt>
                <c:pt idx="11">
                  <c:v>42965</c:v>
                </c:pt>
                <c:pt idx="12">
                  <c:v>42790</c:v>
                </c:pt>
                <c:pt idx="13">
                  <c:v>43090</c:v>
                </c:pt>
                <c:pt idx="14">
                  <c:v>43090</c:v>
                </c:pt>
                <c:pt idx="15">
                  <c:v>43090</c:v>
                </c:pt>
                <c:pt idx="16">
                  <c:v>43090</c:v>
                </c:pt>
                <c:pt idx="17">
                  <c:v>43090</c:v>
                </c:pt>
                <c:pt idx="18">
                  <c:v>43090</c:v>
                </c:pt>
                <c:pt idx="19">
                  <c:v>43090</c:v>
                </c:pt>
                <c:pt idx="20">
                  <c:v>42790</c:v>
                </c:pt>
                <c:pt idx="21">
                  <c:v>42990</c:v>
                </c:pt>
                <c:pt idx="22">
                  <c:v>42990</c:v>
                </c:pt>
                <c:pt idx="23">
                  <c:v>42690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15-4893-9B95-9E92230BC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293792"/>
        <c:axId val="896290432"/>
      </c:scatterChart>
      <c:valAx>
        <c:axId val="89629379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90432"/>
        <c:crosses val="autoZero"/>
        <c:crossBetween val="midCat"/>
        <c:majorUnit val="1"/>
      </c:valAx>
      <c:valAx>
        <c:axId val="896290432"/>
        <c:scaling>
          <c:orientation val="minMax"/>
          <c:max val="50000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293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Kontribusi Virtual Inersia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Inertia!$A$58</c:f>
              <c:strCache>
                <c:ptCount val="1"/>
                <c:pt idx="0">
                  <c:v>Thermal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Inertia!$B$58:$Y$58</c:f>
              <c:numCache>
                <c:formatCode>General</c:formatCode>
                <c:ptCount val="24"/>
                <c:pt idx="0">
                  <c:v>49647</c:v>
                </c:pt>
                <c:pt idx="1">
                  <c:v>42690</c:v>
                </c:pt>
                <c:pt idx="2">
                  <c:v>42690</c:v>
                </c:pt>
                <c:pt idx="3">
                  <c:v>42690</c:v>
                </c:pt>
                <c:pt idx="4">
                  <c:v>42690</c:v>
                </c:pt>
                <c:pt idx="5">
                  <c:v>42690</c:v>
                </c:pt>
                <c:pt idx="6">
                  <c:v>42690</c:v>
                </c:pt>
                <c:pt idx="7">
                  <c:v>42690</c:v>
                </c:pt>
                <c:pt idx="8">
                  <c:v>42690</c:v>
                </c:pt>
                <c:pt idx="9">
                  <c:v>42690</c:v>
                </c:pt>
                <c:pt idx="10">
                  <c:v>42690</c:v>
                </c:pt>
                <c:pt idx="11">
                  <c:v>42690</c:v>
                </c:pt>
                <c:pt idx="12">
                  <c:v>42690</c:v>
                </c:pt>
                <c:pt idx="13">
                  <c:v>42690</c:v>
                </c:pt>
                <c:pt idx="14">
                  <c:v>42690</c:v>
                </c:pt>
                <c:pt idx="15">
                  <c:v>42690</c:v>
                </c:pt>
                <c:pt idx="16">
                  <c:v>42690</c:v>
                </c:pt>
                <c:pt idx="17">
                  <c:v>42690</c:v>
                </c:pt>
                <c:pt idx="18">
                  <c:v>42690</c:v>
                </c:pt>
                <c:pt idx="19">
                  <c:v>42690</c:v>
                </c:pt>
                <c:pt idx="20">
                  <c:v>42690</c:v>
                </c:pt>
                <c:pt idx="21">
                  <c:v>42690</c:v>
                </c:pt>
                <c:pt idx="22">
                  <c:v>42690</c:v>
                </c:pt>
                <c:pt idx="23">
                  <c:v>42690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75-4BDF-81B2-A2335A77E424}"/>
            </c:ext>
          </c:extLst>
        </c:ser>
        <c:ser>
          <c:idx val="3"/>
          <c:order val="1"/>
          <c:tx>
            <c:strRef>
              <c:f>Inertia!$A$59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Inertia!$B$59:$Y$59</c:f>
              <c:numCache>
                <c:formatCode>General</c:formatCode>
                <c:ptCount val="24"/>
                <c:pt idx="0">
                  <c:v>0</c:v>
                </c:pt>
                <c:pt idx="1">
                  <c:v>400</c:v>
                </c:pt>
                <c:pt idx="2">
                  <c:v>400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</c:v>
                </c:pt>
                <c:pt idx="9">
                  <c:v>400</c:v>
                </c:pt>
                <c:pt idx="10">
                  <c:v>400</c:v>
                </c:pt>
                <c:pt idx="11">
                  <c:v>275.00000000000011</c:v>
                </c:pt>
                <c:pt idx="12">
                  <c:v>100</c:v>
                </c:pt>
                <c:pt idx="13">
                  <c:v>400</c:v>
                </c:pt>
                <c:pt idx="14">
                  <c:v>400</c:v>
                </c:pt>
                <c:pt idx="15">
                  <c:v>400.00000000000011</c:v>
                </c:pt>
                <c:pt idx="16">
                  <c:v>400.00000000000011</c:v>
                </c:pt>
                <c:pt idx="17">
                  <c:v>400.00000000000011</c:v>
                </c:pt>
                <c:pt idx="18">
                  <c:v>400.00000000000011</c:v>
                </c:pt>
                <c:pt idx="19">
                  <c:v>400.00000000000011</c:v>
                </c:pt>
                <c:pt idx="20">
                  <c:v>100</c:v>
                </c:pt>
                <c:pt idx="21">
                  <c:v>300</c:v>
                </c:pt>
                <c:pt idx="22">
                  <c:v>300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75-4BDF-81B2-A2335A77E424}"/>
            </c:ext>
          </c:extLst>
        </c:ser>
        <c:ser>
          <c:idx val="4"/>
          <c:order val="2"/>
          <c:tx>
            <c:strRef>
              <c:f>Inertia!$A$60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Inertia!$B$60:$Y$60</c:f>
              <c:numCache>
                <c:formatCode>General</c:formatCode>
                <c:ptCount val="24"/>
                <c:pt idx="0">
                  <c:v>304.69266136507667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75-4BDF-81B2-A2335A77E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6793328"/>
        <c:axId val="816789968"/>
      </c:barChart>
      <c:catAx>
        <c:axId val="81679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9968"/>
        <c:crosses val="autoZero"/>
        <c:auto val="1"/>
        <c:lblAlgn val="ctr"/>
        <c:lblOffset val="100"/>
        <c:noMultiLvlLbl val="0"/>
      </c:catAx>
      <c:valAx>
        <c:axId val="8167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9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Charge/Discharge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Battery!$AB$4</c:f>
              <c:strCache>
                <c:ptCount val="1"/>
                <c:pt idx="0">
                  <c:v>#1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Battery!$AC$2:$AZ$3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Battery!$AC$4:$AZ$4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0-44F8-8CA4-BB033DC013DC}"/>
            </c:ext>
          </c:extLst>
        </c:ser>
        <c:ser>
          <c:idx val="1"/>
          <c:order val="1"/>
          <c:tx>
            <c:strRef>
              <c:f>Battery!$AB$5</c:f>
              <c:strCache>
                <c:ptCount val="1"/>
                <c:pt idx="0">
                  <c:v>#2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Battery!$AC$2:$AZ$3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Battery!$AC$5:$AZ$5</c:f>
              <c:numCache>
                <c:formatCode>0.00</c:formatCode>
                <c:ptCount val="24"/>
                <c:pt idx="0">
                  <c:v>-20.500000000000004</c:v>
                </c:pt>
                <c:pt idx="1">
                  <c:v>0</c:v>
                </c:pt>
                <c:pt idx="2">
                  <c:v>0</c:v>
                </c:pt>
                <c:pt idx="3">
                  <c:v>46.539388203151589</c:v>
                </c:pt>
                <c:pt idx="4">
                  <c:v>0</c:v>
                </c:pt>
                <c:pt idx="5">
                  <c:v>0</c:v>
                </c:pt>
                <c:pt idx="6">
                  <c:v>58.460611796848411</c:v>
                </c:pt>
                <c:pt idx="7">
                  <c:v>80</c:v>
                </c:pt>
                <c:pt idx="8">
                  <c:v>0</c:v>
                </c:pt>
                <c:pt idx="9">
                  <c:v>-20</c:v>
                </c:pt>
                <c:pt idx="10">
                  <c:v>-20</c:v>
                </c:pt>
                <c:pt idx="11">
                  <c:v>-40</c:v>
                </c:pt>
                <c:pt idx="12">
                  <c:v>80</c:v>
                </c:pt>
                <c:pt idx="13">
                  <c:v>0</c:v>
                </c:pt>
                <c:pt idx="14">
                  <c:v>-80</c:v>
                </c:pt>
                <c:pt idx="15">
                  <c:v>-33.589143777138702</c:v>
                </c:pt>
                <c:pt idx="16">
                  <c:v>13.5891437771387</c:v>
                </c:pt>
                <c:pt idx="17">
                  <c:v>80</c:v>
                </c:pt>
                <c:pt idx="18">
                  <c:v>20</c:v>
                </c:pt>
                <c:pt idx="19">
                  <c:v>0</c:v>
                </c:pt>
                <c:pt idx="20">
                  <c:v>-51.684545055375111</c:v>
                </c:pt>
                <c:pt idx="21">
                  <c:v>0</c:v>
                </c:pt>
                <c:pt idx="22">
                  <c:v>-61.558953017513431</c:v>
                </c:pt>
                <c:pt idx="23">
                  <c:v>-51.256501927111458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C0-44F8-8CA4-BB033DC013DC}"/>
            </c:ext>
          </c:extLst>
        </c:ser>
        <c:ser>
          <c:idx val="2"/>
          <c:order val="2"/>
          <c:tx>
            <c:strRef>
              <c:f>Battery!$AB$6</c:f>
              <c:strCache>
                <c:ptCount val="1"/>
                <c:pt idx="0">
                  <c:v>#3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Battery!$AC$2:$AZ$3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Battery!$AC$6:$AZ$6</c:f>
              <c:numCache>
                <c:formatCode>0.00</c:formatCode>
                <c:ptCount val="24"/>
                <c:pt idx="0">
                  <c:v>-20.500000000000014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80</c:v>
                </c:pt>
                <c:pt idx="8">
                  <c:v>0</c:v>
                </c:pt>
                <c:pt idx="9">
                  <c:v>0</c:v>
                </c:pt>
                <c:pt idx="10">
                  <c:v>-60</c:v>
                </c:pt>
                <c:pt idx="11">
                  <c:v>-20</c:v>
                </c:pt>
                <c:pt idx="12">
                  <c:v>80</c:v>
                </c:pt>
                <c:pt idx="13">
                  <c:v>-60</c:v>
                </c:pt>
                <c:pt idx="14">
                  <c:v>-60</c:v>
                </c:pt>
                <c:pt idx="15">
                  <c:v>-20</c:v>
                </c:pt>
                <c:pt idx="16">
                  <c:v>60</c:v>
                </c:pt>
                <c:pt idx="17">
                  <c:v>80</c:v>
                </c:pt>
                <c:pt idx="18">
                  <c:v>0</c:v>
                </c:pt>
                <c:pt idx="19">
                  <c:v>-45</c:v>
                </c:pt>
                <c:pt idx="20">
                  <c:v>-60</c:v>
                </c:pt>
                <c:pt idx="21">
                  <c:v>-80</c:v>
                </c:pt>
                <c:pt idx="22">
                  <c:v>0</c:v>
                </c:pt>
                <c:pt idx="23">
                  <c:v>20.500000000000025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C0-44F8-8CA4-BB033DC013DC}"/>
            </c:ext>
          </c:extLst>
        </c:ser>
        <c:ser>
          <c:idx val="3"/>
          <c:order val="3"/>
          <c:tx>
            <c:strRef>
              <c:f>Battery!$AB$7</c:f>
              <c:strCache>
                <c:ptCount val="1"/>
                <c:pt idx="0">
                  <c:v>#4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Battery!$AC$2:$AZ$3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Battery!$AC$7:$AZ$7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C0-44F8-8CA4-BB033DC013DC}"/>
            </c:ext>
          </c:extLst>
        </c:ser>
        <c:ser>
          <c:idx val="4"/>
          <c:order val="4"/>
          <c:tx>
            <c:strRef>
              <c:f>Battery!$AB$8</c:f>
              <c:strCache>
                <c:ptCount val="1"/>
                <c:pt idx="0">
                  <c:v>#5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Battery!$AC$2:$AZ$3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Battery!$AC$8:$AZ$8</c:f>
              <c:numCache>
                <c:formatCode>0.00</c:formatCode>
                <c:ptCount val="24"/>
                <c:pt idx="0">
                  <c:v>17.42080963067804</c:v>
                </c:pt>
                <c:pt idx="1">
                  <c:v>-37.920809630678036</c:v>
                </c:pt>
                <c:pt idx="2">
                  <c:v>72.590792798946268</c:v>
                </c:pt>
                <c:pt idx="3">
                  <c:v>32.409207201053732</c:v>
                </c:pt>
                <c:pt idx="4">
                  <c:v>80</c:v>
                </c:pt>
                <c:pt idx="5">
                  <c:v>-58.460611796848752</c:v>
                </c:pt>
                <c:pt idx="6">
                  <c:v>0</c:v>
                </c:pt>
                <c:pt idx="7">
                  <c:v>58.460611796848752</c:v>
                </c:pt>
                <c:pt idx="8">
                  <c:v>0</c:v>
                </c:pt>
                <c:pt idx="9">
                  <c:v>-15.61785236864057</c:v>
                </c:pt>
                <c:pt idx="10">
                  <c:v>15.61785236864057</c:v>
                </c:pt>
                <c:pt idx="11">
                  <c:v>-80</c:v>
                </c:pt>
                <c:pt idx="12">
                  <c:v>80</c:v>
                </c:pt>
                <c:pt idx="13">
                  <c:v>0</c:v>
                </c:pt>
                <c:pt idx="14">
                  <c:v>-60</c:v>
                </c:pt>
                <c:pt idx="15">
                  <c:v>0</c:v>
                </c:pt>
                <c:pt idx="16">
                  <c:v>0</c:v>
                </c:pt>
                <c:pt idx="17">
                  <c:v>60</c:v>
                </c:pt>
                <c:pt idx="18">
                  <c:v>-20</c:v>
                </c:pt>
                <c:pt idx="19">
                  <c:v>-80</c:v>
                </c:pt>
                <c:pt idx="20">
                  <c:v>-28.284545055373659</c:v>
                </c:pt>
                <c:pt idx="21">
                  <c:v>-56.715454944626337</c:v>
                </c:pt>
                <c:pt idx="22">
                  <c:v>20.5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C0-44F8-8CA4-BB033DC013DC}"/>
            </c:ext>
          </c:extLst>
        </c:ser>
        <c:ser>
          <c:idx val="5"/>
          <c:order val="5"/>
          <c:tx>
            <c:strRef>
              <c:f>Battery!$AB$9</c:f>
              <c:strCache>
                <c:ptCount val="1"/>
                <c:pt idx="0">
                  <c:v>#6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Battery!$AC$2:$AZ$3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Battery!$AC$9:$AZ$9</c:f>
              <c:numCache>
                <c:formatCode>0.00</c:formatCode>
                <c:ptCount val="24"/>
                <c:pt idx="0">
                  <c:v>80</c:v>
                </c:pt>
                <c:pt idx="1">
                  <c:v>-80</c:v>
                </c:pt>
                <c:pt idx="2">
                  <c:v>80</c:v>
                </c:pt>
                <c:pt idx="3">
                  <c:v>25.95561440210599</c:v>
                </c:pt>
                <c:pt idx="4">
                  <c:v>0</c:v>
                </c:pt>
                <c:pt idx="5">
                  <c:v>0</c:v>
                </c:pt>
                <c:pt idx="6">
                  <c:v>58.544385597894014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-60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60</c:v>
                </c:pt>
                <c:pt idx="16">
                  <c:v>0</c:v>
                </c:pt>
                <c:pt idx="17">
                  <c:v>0</c:v>
                </c:pt>
                <c:pt idx="18">
                  <c:v>-20</c:v>
                </c:pt>
                <c:pt idx="19">
                  <c:v>-60</c:v>
                </c:pt>
                <c:pt idx="20">
                  <c:v>-80</c:v>
                </c:pt>
                <c:pt idx="21">
                  <c:v>-25</c:v>
                </c:pt>
                <c:pt idx="22">
                  <c:v>0</c:v>
                </c:pt>
                <c:pt idx="23">
                  <c:v>20.500000000000004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C0-44F8-8CA4-BB033DC013DC}"/>
            </c:ext>
          </c:extLst>
        </c:ser>
        <c:ser>
          <c:idx val="6"/>
          <c:order val="6"/>
          <c:tx>
            <c:strRef>
              <c:f>Battery!$AB$10</c:f>
              <c:strCache>
                <c:ptCount val="1"/>
                <c:pt idx="0">
                  <c:v>#7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Battery!$AC$2:$AZ$3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Battery!$AC$10:$AZ$10</c:f>
              <c:numCache>
                <c:formatCode>0.00</c:formatCode>
                <c:ptCount val="24"/>
                <c:pt idx="0">
                  <c:v>80</c:v>
                </c:pt>
                <c:pt idx="1">
                  <c:v>0</c:v>
                </c:pt>
                <c:pt idx="2">
                  <c:v>0</c:v>
                </c:pt>
                <c:pt idx="3">
                  <c:v>-80</c:v>
                </c:pt>
                <c:pt idx="4">
                  <c:v>5.0000000000000044</c:v>
                </c:pt>
                <c:pt idx="5">
                  <c:v>-25.5</c:v>
                </c:pt>
                <c:pt idx="6">
                  <c:v>80</c:v>
                </c:pt>
                <c:pt idx="7">
                  <c:v>50.24846161877349</c:v>
                </c:pt>
                <c:pt idx="8">
                  <c:v>54.75153838122651</c:v>
                </c:pt>
                <c:pt idx="9">
                  <c:v>0</c:v>
                </c:pt>
                <c:pt idx="10">
                  <c:v>0</c:v>
                </c:pt>
                <c:pt idx="11">
                  <c:v>-24.999999999999972</c:v>
                </c:pt>
                <c:pt idx="12">
                  <c:v>-60.000000000000007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-60.000000000000007</c:v>
                </c:pt>
                <c:pt idx="21">
                  <c:v>-20</c:v>
                </c:pt>
                <c:pt idx="22">
                  <c:v>-20.000000000000011</c:v>
                </c:pt>
                <c:pt idx="23">
                  <c:v>20.500000000000014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C0-44F8-8CA4-BB033DC01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3210272"/>
        <c:axId val="683207872"/>
      </c:barChart>
      <c:catAx>
        <c:axId val="68321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207872"/>
        <c:crosses val="autoZero"/>
        <c:auto val="1"/>
        <c:lblAlgn val="ctr"/>
        <c:lblOffset val="100"/>
        <c:noMultiLvlLbl val="0"/>
      </c:catAx>
      <c:valAx>
        <c:axId val="6832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21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State of Charge Battery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Battery!$AB$16</c:f>
              <c:strCache>
                <c:ptCount val="1"/>
                <c:pt idx="0">
                  <c:v>#1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Battery!$AC$16:$AZ$16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67-4995-9129-ADB2019BCDB1}"/>
            </c:ext>
          </c:extLst>
        </c:ser>
        <c:ser>
          <c:idx val="3"/>
          <c:order val="1"/>
          <c:tx>
            <c:strRef>
              <c:f>Battery!$AB$17</c:f>
              <c:strCache>
                <c:ptCount val="1"/>
                <c:pt idx="0">
                  <c:v>#2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Battery!$AC$17:$AZ$17</c:f>
              <c:numCache>
                <c:formatCode>0.00</c:formatCode>
                <c:ptCount val="24"/>
                <c:pt idx="0">
                  <c:v>19.999999999999993</c:v>
                </c:pt>
                <c:pt idx="1">
                  <c:v>20</c:v>
                </c:pt>
                <c:pt idx="2">
                  <c:v>20</c:v>
                </c:pt>
                <c:pt idx="3">
                  <c:v>66.539388203151589</c:v>
                </c:pt>
                <c:pt idx="4">
                  <c:v>66.539388203151589</c:v>
                </c:pt>
                <c:pt idx="5">
                  <c:v>66.539388203151589</c:v>
                </c:pt>
                <c:pt idx="6">
                  <c:v>125</c:v>
                </c:pt>
                <c:pt idx="7">
                  <c:v>205</c:v>
                </c:pt>
                <c:pt idx="8">
                  <c:v>205</c:v>
                </c:pt>
                <c:pt idx="9">
                  <c:v>185</c:v>
                </c:pt>
                <c:pt idx="10">
                  <c:v>165</c:v>
                </c:pt>
                <c:pt idx="11">
                  <c:v>125</c:v>
                </c:pt>
                <c:pt idx="12">
                  <c:v>205</c:v>
                </c:pt>
                <c:pt idx="13">
                  <c:v>205</c:v>
                </c:pt>
                <c:pt idx="14">
                  <c:v>125</c:v>
                </c:pt>
                <c:pt idx="15">
                  <c:v>91.410856222861298</c:v>
                </c:pt>
                <c:pt idx="16">
                  <c:v>105</c:v>
                </c:pt>
                <c:pt idx="17">
                  <c:v>185</c:v>
                </c:pt>
                <c:pt idx="18">
                  <c:v>205</c:v>
                </c:pt>
                <c:pt idx="19">
                  <c:v>205</c:v>
                </c:pt>
                <c:pt idx="20">
                  <c:v>153.31545494462489</c:v>
                </c:pt>
                <c:pt idx="21">
                  <c:v>153.31545494462489</c:v>
                </c:pt>
                <c:pt idx="22">
                  <c:v>91.756501927111458</c:v>
                </c:pt>
                <c:pt idx="23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67-4995-9129-ADB2019BCDB1}"/>
            </c:ext>
          </c:extLst>
        </c:ser>
        <c:ser>
          <c:idx val="4"/>
          <c:order val="2"/>
          <c:tx>
            <c:strRef>
              <c:f>Battery!$AB$18</c:f>
              <c:strCache>
                <c:ptCount val="1"/>
                <c:pt idx="0">
                  <c:v>#3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Battery!$AC$18:$AZ$18</c:f>
              <c:numCache>
                <c:formatCode>0.00</c:formatCode>
                <c:ptCount val="24"/>
                <c:pt idx="0">
                  <c:v>19.999999999999989</c:v>
                </c:pt>
                <c:pt idx="1">
                  <c:v>20</c:v>
                </c:pt>
                <c:pt idx="2">
                  <c:v>20</c:v>
                </c:pt>
                <c:pt idx="3">
                  <c:v>45</c:v>
                </c:pt>
                <c:pt idx="4">
                  <c:v>125</c:v>
                </c:pt>
                <c:pt idx="5">
                  <c:v>125</c:v>
                </c:pt>
                <c:pt idx="6">
                  <c:v>125</c:v>
                </c:pt>
                <c:pt idx="7">
                  <c:v>205</c:v>
                </c:pt>
                <c:pt idx="8">
                  <c:v>205</c:v>
                </c:pt>
                <c:pt idx="9">
                  <c:v>205</c:v>
                </c:pt>
                <c:pt idx="10">
                  <c:v>145</c:v>
                </c:pt>
                <c:pt idx="11">
                  <c:v>125</c:v>
                </c:pt>
                <c:pt idx="12">
                  <c:v>205</c:v>
                </c:pt>
                <c:pt idx="13">
                  <c:v>145</c:v>
                </c:pt>
                <c:pt idx="14">
                  <c:v>85</c:v>
                </c:pt>
                <c:pt idx="15">
                  <c:v>65</c:v>
                </c:pt>
                <c:pt idx="16">
                  <c:v>125</c:v>
                </c:pt>
                <c:pt idx="17">
                  <c:v>205</c:v>
                </c:pt>
                <c:pt idx="18">
                  <c:v>205</c:v>
                </c:pt>
                <c:pt idx="19">
                  <c:v>160</c:v>
                </c:pt>
                <c:pt idx="20">
                  <c:v>100</c:v>
                </c:pt>
                <c:pt idx="21">
                  <c:v>20</c:v>
                </c:pt>
                <c:pt idx="22">
                  <c:v>19.999999999999972</c:v>
                </c:pt>
                <c:pt idx="23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67-4995-9129-ADB2019BCDB1}"/>
            </c:ext>
          </c:extLst>
        </c:ser>
        <c:ser>
          <c:idx val="5"/>
          <c:order val="3"/>
          <c:tx>
            <c:strRef>
              <c:f>Battery!$AB$19</c:f>
              <c:strCache>
                <c:ptCount val="1"/>
                <c:pt idx="0">
                  <c:v>#4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Battery!$AC$19:$AZ$19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367-4995-9129-ADB2019BCDB1}"/>
            </c:ext>
          </c:extLst>
        </c:ser>
        <c:ser>
          <c:idx val="6"/>
          <c:order val="4"/>
          <c:tx>
            <c:strRef>
              <c:f>Battery!$AB$20</c:f>
              <c:strCache>
                <c:ptCount val="1"/>
                <c:pt idx="0">
                  <c:v>#5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Battery!$AC$20:$AZ$20</c:f>
              <c:numCache>
                <c:formatCode>0.00</c:formatCode>
                <c:ptCount val="24"/>
                <c:pt idx="0">
                  <c:v>57.920809630678036</c:v>
                </c:pt>
                <c:pt idx="1">
                  <c:v>20</c:v>
                </c:pt>
                <c:pt idx="2">
                  <c:v>92.590792798946268</c:v>
                </c:pt>
                <c:pt idx="3">
                  <c:v>125</c:v>
                </c:pt>
                <c:pt idx="4">
                  <c:v>205</c:v>
                </c:pt>
                <c:pt idx="5">
                  <c:v>146.53938820315125</c:v>
                </c:pt>
                <c:pt idx="6">
                  <c:v>146.53938820315125</c:v>
                </c:pt>
                <c:pt idx="7">
                  <c:v>205</c:v>
                </c:pt>
                <c:pt idx="8">
                  <c:v>205</c:v>
                </c:pt>
                <c:pt idx="9">
                  <c:v>189.3821476313594</c:v>
                </c:pt>
                <c:pt idx="10">
                  <c:v>205</c:v>
                </c:pt>
                <c:pt idx="11">
                  <c:v>125</c:v>
                </c:pt>
                <c:pt idx="12">
                  <c:v>205</c:v>
                </c:pt>
                <c:pt idx="13">
                  <c:v>205</c:v>
                </c:pt>
                <c:pt idx="14">
                  <c:v>145</c:v>
                </c:pt>
                <c:pt idx="15">
                  <c:v>145</c:v>
                </c:pt>
                <c:pt idx="16">
                  <c:v>145</c:v>
                </c:pt>
                <c:pt idx="17">
                  <c:v>205</c:v>
                </c:pt>
                <c:pt idx="18">
                  <c:v>185</c:v>
                </c:pt>
                <c:pt idx="19">
                  <c:v>105</c:v>
                </c:pt>
                <c:pt idx="20">
                  <c:v>76.715454944626345</c:v>
                </c:pt>
                <c:pt idx="21">
                  <c:v>20</c:v>
                </c:pt>
                <c:pt idx="22">
                  <c:v>40.5</c:v>
                </c:pt>
                <c:pt idx="23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67-4995-9129-ADB2019BCDB1}"/>
            </c:ext>
          </c:extLst>
        </c:ser>
        <c:ser>
          <c:idx val="7"/>
          <c:order val="5"/>
          <c:tx>
            <c:strRef>
              <c:f>Battery!$AB$21</c:f>
              <c:strCache>
                <c:ptCount val="1"/>
                <c:pt idx="0">
                  <c:v>#6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Battery!$AC$21:$AZ$21</c:f>
              <c:numCache>
                <c:formatCode>0.00</c:formatCode>
                <c:ptCount val="24"/>
                <c:pt idx="0">
                  <c:v>120.5</c:v>
                </c:pt>
                <c:pt idx="1">
                  <c:v>40.5</c:v>
                </c:pt>
                <c:pt idx="2">
                  <c:v>120.5</c:v>
                </c:pt>
                <c:pt idx="3">
                  <c:v>146.45561440210599</c:v>
                </c:pt>
                <c:pt idx="4">
                  <c:v>146.45561440210599</c:v>
                </c:pt>
                <c:pt idx="5">
                  <c:v>146.45561440210599</c:v>
                </c:pt>
                <c:pt idx="6">
                  <c:v>205</c:v>
                </c:pt>
                <c:pt idx="7">
                  <c:v>205</c:v>
                </c:pt>
                <c:pt idx="8">
                  <c:v>205</c:v>
                </c:pt>
                <c:pt idx="9">
                  <c:v>205</c:v>
                </c:pt>
                <c:pt idx="10">
                  <c:v>205</c:v>
                </c:pt>
                <c:pt idx="11">
                  <c:v>145</c:v>
                </c:pt>
                <c:pt idx="12">
                  <c:v>145</c:v>
                </c:pt>
                <c:pt idx="13">
                  <c:v>145</c:v>
                </c:pt>
                <c:pt idx="14">
                  <c:v>145</c:v>
                </c:pt>
                <c:pt idx="15">
                  <c:v>205</c:v>
                </c:pt>
                <c:pt idx="16">
                  <c:v>205</c:v>
                </c:pt>
                <c:pt idx="17">
                  <c:v>205</c:v>
                </c:pt>
                <c:pt idx="18">
                  <c:v>185</c:v>
                </c:pt>
                <c:pt idx="19">
                  <c:v>125</c:v>
                </c:pt>
                <c:pt idx="20">
                  <c:v>45</c:v>
                </c:pt>
                <c:pt idx="21">
                  <c:v>20</c:v>
                </c:pt>
                <c:pt idx="22">
                  <c:v>19.999999999999993</c:v>
                </c:pt>
                <c:pt idx="23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367-4995-9129-ADB2019BCDB1}"/>
            </c:ext>
          </c:extLst>
        </c:ser>
        <c:ser>
          <c:idx val="8"/>
          <c:order val="6"/>
          <c:tx>
            <c:strRef>
              <c:f>Battery!$AB$22</c:f>
              <c:strCache>
                <c:ptCount val="1"/>
                <c:pt idx="0">
                  <c:v>#7</c:v>
                </c:pt>
              </c:strCache>
            </c:strRef>
          </c:tx>
          <c:spPr>
            <a:ln w="254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Battery!$AC$22:$AZ$22</c:f>
              <c:numCache>
                <c:formatCode>0.00</c:formatCode>
                <c:ptCount val="24"/>
                <c:pt idx="0">
                  <c:v>120.5</c:v>
                </c:pt>
                <c:pt idx="1">
                  <c:v>120.5</c:v>
                </c:pt>
                <c:pt idx="2">
                  <c:v>120.5</c:v>
                </c:pt>
                <c:pt idx="3">
                  <c:v>40.5</c:v>
                </c:pt>
                <c:pt idx="4">
                  <c:v>45.5</c:v>
                </c:pt>
                <c:pt idx="5">
                  <c:v>20</c:v>
                </c:pt>
                <c:pt idx="6">
                  <c:v>100</c:v>
                </c:pt>
                <c:pt idx="7">
                  <c:v>150.24846161877349</c:v>
                </c:pt>
                <c:pt idx="8">
                  <c:v>205</c:v>
                </c:pt>
                <c:pt idx="9">
                  <c:v>205</c:v>
                </c:pt>
                <c:pt idx="10">
                  <c:v>205</c:v>
                </c:pt>
                <c:pt idx="11">
                  <c:v>180</c:v>
                </c:pt>
                <c:pt idx="12">
                  <c:v>120.00000000000001</c:v>
                </c:pt>
                <c:pt idx="13">
                  <c:v>120.00000000000001</c:v>
                </c:pt>
                <c:pt idx="14">
                  <c:v>120.00000000000001</c:v>
                </c:pt>
                <c:pt idx="15">
                  <c:v>120.00000000000001</c:v>
                </c:pt>
                <c:pt idx="16">
                  <c:v>120.00000000000001</c:v>
                </c:pt>
                <c:pt idx="17">
                  <c:v>120.00000000000001</c:v>
                </c:pt>
                <c:pt idx="18">
                  <c:v>120.00000000000001</c:v>
                </c:pt>
                <c:pt idx="19">
                  <c:v>120.00000000000001</c:v>
                </c:pt>
                <c:pt idx="20">
                  <c:v>60</c:v>
                </c:pt>
                <c:pt idx="21">
                  <c:v>40</c:v>
                </c:pt>
                <c:pt idx="22">
                  <c:v>19.999999999999982</c:v>
                </c:pt>
                <c:pt idx="23">
                  <c:v>40.5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367-4995-9129-ADB2019BC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09632"/>
        <c:axId val="818715872"/>
      </c:scatterChart>
      <c:valAx>
        <c:axId val="81870963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715872"/>
        <c:crosses val="autoZero"/>
        <c:crossBetween val="midCat"/>
        <c:majorUnit val="1"/>
      </c:valAx>
      <c:valAx>
        <c:axId val="81871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70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Wind Turbine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WT!$A$22</c:f>
              <c:strCache>
                <c:ptCount val="1"/>
                <c:pt idx="0">
                  <c:v>Available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WT!$B$22:$Y$22</c:f>
              <c:numCache>
                <c:formatCode>General</c:formatCode>
                <c:ptCount val="24"/>
                <c:pt idx="0">
                  <c:v>400</c:v>
                </c:pt>
                <c:pt idx="1">
                  <c:v>338.51</c:v>
                </c:pt>
                <c:pt idx="2">
                  <c:v>347.43</c:v>
                </c:pt>
                <c:pt idx="3">
                  <c:v>333.57</c:v>
                </c:pt>
                <c:pt idx="4">
                  <c:v>371.75</c:v>
                </c:pt>
                <c:pt idx="5">
                  <c:v>272.38</c:v>
                </c:pt>
                <c:pt idx="6">
                  <c:v>309.17</c:v>
                </c:pt>
                <c:pt idx="7">
                  <c:v>237.33</c:v>
                </c:pt>
                <c:pt idx="8">
                  <c:v>308.58999999999997</c:v>
                </c:pt>
                <c:pt idx="9">
                  <c:v>390.99</c:v>
                </c:pt>
                <c:pt idx="10">
                  <c:v>288.67</c:v>
                </c:pt>
                <c:pt idx="11">
                  <c:v>180.56</c:v>
                </c:pt>
                <c:pt idx="12">
                  <c:v>118.54</c:v>
                </c:pt>
                <c:pt idx="13">
                  <c:v>134.03</c:v>
                </c:pt>
                <c:pt idx="14">
                  <c:v>127.09</c:v>
                </c:pt>
                <c:pt idx="15">
                  <c:v>101.32</c:v>
                </c:pt>
                <c:pt idx="16">
                  <c:v>185.4</c:v>
                </c:pt>
                <c:pt idx="17">
                  <c:v>217.23</c:v>
                </c:pt>
                <c:pt idx="18">
                  <c:v>233.7</c:v>
                </c:pt>
                <c:pt idx="19">
                  <c:v>266.38</c:v>
                </c:pt>
                <c:pt idx="20">
                  <c:v>255.5</c:v>
                </c:pt>
                <c:pt idx="21">
                  <c:v>197.37</c:v>
                </c:pt>
                <c:pt idx="22">
                  <c:v>219.46</c:v>
                </c:pt>
                <c:pt idx="23">
                  <c:v>140.31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91-412A-8308-7F173791C8CB}"/>
            </c:ext>
          </c:extLst>
        </c:ser>
        <c:ser>
          <c:idx val="3"/>
          <c:order val="1"/>
          <c:tx>
            <c:strRef>
              <c:f>WT!$A$23</c:f>
              <c:strCache>
                <c:ptCount val="1"/>
                <c:pt idx="0">
                  <c:v>Curtailment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WT!$B$23:$Y$23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91-412A-8308-7F173791C8CB}"/>
            </c:ext>
          </c:extLst>
        </c:ser>
        <c:ser>
          <c:idx val="4"/>
          <c:order val="2"/>
          <c:tx>
            <c:strRef>
              <c:f>WT!$A$24</c:f>
              <c:strCache>
                <c:ptCount val="1"/>
                <c:pt idx="0">
                  <c:v>Used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WT!$B$24:$Y$24</c:f>
              <c:numCache>
                <c:formatCode>General</c:formatCode>
                <c:ptCount val="24"/>
                <c:pt idx="0">
                  <c:v>400</c:v>
                </c:pt>
                <c:pt idx="1">
                  <c:v>338.51</c:v>
                </c:pt>
                <c:pt idx="2">
                  <c:v>347.43</c:v>
                </c:pt>
                <c:pt idx="3">
                  <c:v>333.57</c:v>
                </c:pt>
                <c:pt idx="4">
                  <c:v>371.75</c:v>
                </c:pt>
                <c:pt idx="5">
                  <c:v>272.38</c:v>
                </c:pt>
                <c:pt idx="6">
                  <c:v>309.17</c:v>
                </c:pt>
                <c:pt idx="7">
                  <c:v>237.33</c:v>
                </c:pt>
                <c:pt idx="8">
                  <c:v>308.58999999999997</c:v>
                </c:pt>
                <c:pt idx="9">
                  <c:v>390.99</c:v>
                </c:pt>
                <c:pt idx="10">
                  <c:v>288.67</c:v>
                </c:pt>
                <c:pt idx="11">
                  <c:v>180.56</c:v>
                </c:pt>
                <c:pt idx="12">
                  <c:v>118.54</c:v>
                </c:pt>
                <c:pt idx="13">
                  <c:v>134.03</c:v>
                </c:pt>
                <c:pt idx="14">
                  <c:v>127.09</c:v>
                </c:pt>
                <c:pt idx="15">
                  <c:v>101.32</c:v>
                </c:pt>
                <c:pt idx="16">
                  <c:v>185.4</c:v>
                </c:pt>
                <c:pt idx="17">
                  <c:v>217.23</c:v>
                </c:pt>
                <c:pt idx="18">
                  <c:v>233.7</c:v>
                </c:pt>
                <c:pt idx="19">
                  <c:v>266.38</c:v>
                </c:pt>
                <c:pt idx="20">
                  <c:v>255.5</c:v>
                </c:pt>
                <c:pt idx="21">
                  <c:v>197.37</c:v>
                </c:pt>
                <c:pt idx="22">
                  <c:v>219.46</c:v>
                </c:pt>
                <c:pt idx="23">
                  <c:v>140.31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91-412A-8308-7F173791C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327776"/>
        <c:axId val="828328256"/>
      </c:scatterChart>
      <c:valAx>
        <c:axId val="828327776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328256"/>
        <c:crosses val="autoZero"/>
        <c:crossBetween val="midCat"/>
        <c:majorUnit val="1"/>
      </c:valAx>
      <c:valAx>
        <c:axId val="82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327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Wind Turbine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WT!$A$49</c:f>
              <c:strCache>
                <c:ptCount val="1"/>
                <c:pt idx="0">
                  <c:v>Available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WT!$B$49:$Y$49</c:f>
              <c:numCache>
                <c:formatCode>General</c:formatCode>
                <c:ptCount val="24"/>
                <c:pt idx="0">
                  <c:v>400</c:v>
                </c:pt>
                <c:pt idx="1">
                  <c:v>338.51</c:v>
                </c:pt>
                <c:pt idx="2">
                  <c:v>347.43</c:v>
                </c:pt>
                <c:pt idx="3">
                  <c:v>333.57</c:v>
                </c:pt>
                <c:pt idx="4">
                  <c:v>371.75</c:v>
                </c:pt>
                <c:pt idx="5">
                  <c:v>272.38</c:v>
                </c:pt>
                <c:pt idx="6">
                  <c:v>309.17</c:v>
                </c:pt>
                <c:pt idx="7">
                  <c:v>237.33</c:v>
                </c:pt>
                <c:pt idx="8">
                  <c:v>308.58999999999997</c:v>
                </c:pt>
                <c:pt idx="9">
                  <c:v>390.99</c:v>
                </c:pt>
                <c:pt idx="10">
                  <c:v>288.67</c:v>
                </c:pt>
                <c:pt idx="11">
                  <c:v>180.56</c:v>
                </c:pt>
                <c:pt idx="12">
                  <c:v>118.54</c:v>
                </c:pt>
                <c:pt idx="13">
                  <c:v>134.03</c:v>
                </c:pt>
                <c:pt idx="14">
                  <c:v>127.09</c:v>
                </c:pt>
                <c:pt idx="15">
                  <c:v>101.32</c:v>
                </c:pt>
                <c:pt idx="16">
                  <c:v>185.4</c:v>
                </c:pt>
                <c:pt idx="17">
                  <c:v>217.23</c:v>
                </c:pt>
                <c:pt idx="18">
                  <c:v>233.7</c:v>
                </c:pt>
                <c:pt idx="19">
                  <c:v>266.38</c:v>
                </c:pt>
                <c:pt idx="20">
                  <c:v>255.5</c:v>
                </c:pt>
                <c:pt idx="21">
                  <c:v>197.37</c:v>
                </c:pt>
                <c:pt idx="22">
                  <c:v>219.46</c:v>
                </c:pt>
                <c:pt idx="23">
                  <c:v>140.31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D5-4325-999B-930BC350BBC4}"/>
            </c:ext>
          </c:extLst>
        </c:ser>
        <c:ser>
          <c:idx val="3"/>
          <c:order val="1"/>
          <c:tx>
            <c:strRef>
              <c:f>WT!$A$50</c:f>
              <c:strCache>
                <c:ptCount val="1"/>
                <c:pt idx="0">
                  <c:v>Curtailment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WT!$B$50:$Y$50</c:f>
              <c:numCache>
                <c:formatCode>General</c:formatCode>
                <c:ptCount val="24"/>
                <c:pt idx="0">
                  <c:v>76.17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D5-4325-999B-930BC350BBC4}"/>
            </c:ext>
          </c:extLst>
        </c:ser>
        <c:ser>
          <c:idx val="4"/>
          <c:order val="2"/>
          <c:tx>
            <c:strRef>
              <c:f>WT!$A$51</c:f>
              <c:strCache>
                <c:ptCount val="1"/>
                <c:pt idx="0">
                  <c:v>Used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WT!$B$51:$Y$51</c:f>
              <c:numCache>
                <c:formatCode>General</c:formatCode>
                <c:ptCount val="24"/>
                <c:pt idx="0">
                  <c:v>323.83</c:v>
                </c:pt>
                <c:pt idx="1">
                  <c:v>338.51</c:v>
                </c:pt>
                <c:pt idx="2">
                  <c:v>347.43</c:v>
                </c:pt>
                <c:pt idx="3">
                  <c:v>333.57</c:v>
                </c:pt>
                <c:pt idx="4">
                  <c:v>371.75</c:v>
                </c:pt>
                <c:pt idx="5">
                  <c:v>272.38</c:v>
                </c:pt>
                <c:pt idx="6">
                  <c:v>309.17</c:v>
                </c:pt>
                <c:pt idx="7">
                  <c:v>237.33</c:v>
                </c:pt>
                <c:pt idx="8">
                  <c:v>308.58999999999997</c:v>
                </c:pt>
                <c:pt idx="9">
                  <c:v>390.99</c:v>
                </c:pt>
                <c:pt idx="10">
                  <c:v>288.67</c:v>
                </c:pt>
                <c:pt idx="11">
                  <c:v>180.56</c:v>
                </c:pt>
                <c:pt idx="12">
                  <c:v>118.54</c:v>
                </c:pt>
                <c:pt idx="13">
                  <c:v>134.03</c:v>
                </c:pt>
                <c:pt idx="14">
                  <c:v>127.09</c:v>
                </c:pt>
                <c:pt idx="15">
                  <c:v>101.32</c:v>
                </c:pt>
                <c:pt idx="16">
                  <c:v>185.4</c:v>
                </c:pt>
                <c:pt idx="17">
                  <c:v>217.23</c:v>
                </c:pt>
                <c:pt idx="18">
                  <c:v>233.7</c:v>
                </c:pt>
                <c:pt idx="19">
                  <c:v>266.38</c:v>
                </c:pt>
                <c:pt idx="20">
                  <c:v>255.5</c:v>
                </c:pt>
                <c:pt idx="21">
                  <c:v>197.37</c:v>
                </c:pt>
                <c:pt idx="22">
                  <c:v>219.46</c:v>
                </c:pt>
                <c:pt idx="23">
                  <c:v>140.31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D5-4325-999B-930BC350B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636320"/>
        <c:axId val="673638240"/>
      </c:scatterChart>
      <c:valAx>
        <c:axId val="673636320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38240"/>
        <c:crosses val="autoZero"/>
        <c:crossBetween val="midCat"/>
        <c:majorUnit val="1"/>
      </c:valAx>
      <c:valAx>
        <c:axId val="6736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3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Wind Turbine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v>Available</c:v>
          </c:tx>
          <c:spPr>
            <a:solidFill>
              <a:srgbClr val="92D050"/>
            </a:solidFill>
            <a:ln w="25400">
              <a:solidFill>
                <a:srgbClr val="92D050"/>
              </a:solidFill>
            </a:ln>
            <a:effectLst/>
          </c:spPr>
          <c:val>
            <c:numRef>
              <c:f>WT!$B$49:$Y$49</c:f>
              <c:numCache>
                <c:formatCode>General</c:formatCode>
                <c:ptCount val="24"/>
                <c:pt idx="0">
                  <c:v>400</c:v>
                </c:pt>
                <c:pt idx="1">
                  <c:v>338.51</c:v>
                </c:pt>
                <c:pt idx="2">
                  <c:v>347.43</c:v>
                </c:pt>
                <c:pt idx="3">
                  <c:v>333.57</c:v>
                </c:pt>
                <c:pt idx="4">
                  <c:v>371.75</c:v>
                </c:pt>
                <c:pt idx="5">
                  <c:v>272.38</c:v>
                </c:pt>
                <c:pt idx="6">
                  <c:v>309.17</c:v>
                </c:pt>
                <c:pt idx="7">
                  <c:v>237.33</c:v>
                </c:pt>
                <c:pt idx="8">
                  <c:v>308.58999999999997</c:v>
                </c:pt>
                <c:pt idx="9">
                  <c:v>390.99</c:v>
                </c:pt>
                <c:pt idx="10">
                  <c:v>288.67</c:v>
                </c:pt>
                <c:pt idx="11">
                  <c:v>180.56</c:v>
                </c:pt>
                <c:pt idx="12">
                  <c:v>118.54</c:v>
                </c:pt>
                <c:pt idx="13">
                  <c:v>134.03</c:v>
                </c:pt>
                <c:pt idx="14">
                  <c:v>127.09</c:v>
                </c:pt>
                <c:pt idx="15">
                  <c:v>101.32</c:v>
                </c:pt>
                <c:pt idx="16">
                  <c:v>185.4</c:v>
                </c:pt>
                <c:pt idx="17">
                  <c:v>217.23</c:v>
                </c:pt>
                <c:pt idx="18">
                  <c:v>233.7</c:v>
                </c:pt>
                <c:pt idx="19">
                  <c:v>266.38</c:v>
                </c:pt>
                <c:pt idx="20">
                  <c:v>255.5</c:v>
                </c:pt>
                <c:pt idx="21">
                  <c:v>197.37</c:v>
                </c:pt>
                <c:pt idx="22">
                  <c:v>219.46</c:v>
                </c:pt>
                <c:pt idx="23">
                  <c:v>140.31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D5-4325-999B-930BC350BBC4}"/>
            </c:ext>
          </c:extLst>
        </c:ser>
        <c:ser>
          <c:idx val="4"/>
          <c:order val="1"/>
          <c:tx>
            <c:v>Used</c:v>
          </c:tx>
          <c:spPr>
            <a:solidFill>
              <a:srgbClr val="FFC000"/>
            </a:solidFill>
            <a:ln>
              <a:noFill/>
            </a:ln>
            <a:effectLst/>
          </c:spPr>
          <c:val>
            <c:numRef>
              <c:f>WT!$B$51:$Y$51</c:f>
              <c:numCache>
                <c:formatCode>General</c:formatCode>
                <c:ptCount val="24"/>
                <c:pt idx="0">
                  <c:v>323.83</c:v>
                </c:pt>
                <c:pt idx="1">
                  <c:v>338.51</c:v>
                </c:pt>
                <c:pt idx="2">
                  <c:v>347.43</c:v>
                </c:pt>
                <c:pt idx="3">
                  <c:v>333.57</c:v>
                </c:pt>
                <c:pt idx="4">
                  <c:v>371.75</c:v>
                </c:pt>
                <c:pt idx="5">
                  <c:v>272.38</c:v>
                </c:pt>
                <c:pt idx="6">
                  <c:v>309.17</c:v>
                </c:pt>
                <c:pt idx="7">
                  <c:v>237.33</c:v>
                </c:pt>
                <c:pt idx="8">
                  <c:v>308.58999999999997</c:v>
                </c:pt>
                <c:pt idx="9">
                  <c:v>390.99</c:v>
                </c:pt>
                <c:pt idx="10">
                  <c:v>288.67</c:v>
                </c:pt>
                <c:pt idx="11">
                  <c:v>180.56</c:v>
                </c:pt>
                <c:pt idx="12">
                  <c:v>118.54</c:v>
                </c:pt>
                <c:pt idx="13">
                  <c:v>134.03</c:v>
                </c:pt>
                <c:pt idx="14">
                  <c:v>127.09</c:v>
                </c:pt>
                <c:pt idx="15">
                  <c:v>101.32</c:v>
                </c:pt>
                <c:pt idx="16">
                  <c:v>185.4</c:v>
                </c:pt>
                <c:pt idx="17">
                  <c:v>217.23</c:v>
                </c:pt>
                <c:pt idx="18">
                  <c:v>233.7</c:v>
                </c:pt>
                <c:pt idx="19">
                  <c:v>266.38</c:v>
                </c:pt>
                <c:pt idx="20">
                  <c:v>255.5</c:v>
                </c:pt>
                <c:pt idx="21">
                  <c:v>197.37</c:v>
                </c:pt>
                <c:pt idx="22">
                  <c:v>219.46</c:v>
                </c:pt>
                <c:pt idx="23">
                  <c:v>140.31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D5-4325-999B-930BC350B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636320"/>
        <c:axId val="673638240"/>
        <c:extLst>
          <c:ext xmlns:c15="http://schemas.microsoft.com/office/drawing/2012/chart" uri="{02D57815-91ED-43cb-92C2-25804820EDAC}">
            <c15:filteredAreaSeries>
              <c15:ser>
                <c:idx val="3"/>
                <c:order val="2"/>
                <c:tx>
                  <c:v>Curtailment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WT!$B$50:$Y$50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76.17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BD5-4325-999B-930BC350BBC4}"/>
                  </c:ext>
                </c:extLst>
              </c15:ser>
            </c15:filteredAreaSeries>
          </c:ext>
        </c:extLst>
      </c:areaChart>
      <c:catAx>
        <c:axId val="67363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38240"/>
        <c:crosses val="autoZero"/>
        <c:auto val="1"/>
        <c:lblAlgn val="ctr"/>
        <c:lblOffset val="100"/>
        <c:tickMarkSkip val="1"/>
        <c:noMultiLvlLbl val="1"/>
      </c:catAx>
      <c:valAx>
        <c:axId val="6736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36320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Wind Turbine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WT!$A$22</c:f>
              <c:strCache>
                <c:ptCount val="1"/>
                <c:pt idx="0">
                  <c:v>Available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WT!$B$22:$Y$22</c:f>
              <c:numCache>
                <c:formatCode>General</c:formatCode>
                <c:ptCount val="24"/>
                <c:pt idx="0">
                  <c:v>400</c:v>
                </c:pt>
                <c:pt idx="1">
                  <c:v>338.51</c:v>
                </c:pt>
                <c:pt idx="2">
                  <c:v>347.43</c:v>
                </c:pt>
                <c:pt idx="3">
                  <c:v>333.57</c:v>
                </c:pt>
                <c:pt idx="4">
                  <c:v>371.75</c:v>
                </c:pt>
                <c:pt idx="5">
                  <c:v>272.38</c:v>
                </c:pt>
                <c:pt idx="6">
                  <c:v>309.17</c:v>
                </c:pt>
                <c:pt idx="7">
                  <c:v>237.33</c:v>
                </c:pt>
                <c:pt idx="8">
                  <c:v>308.58999999999997</c:v>
                </c:pt>
                <c:pt idx="9">
                  <c:v>390.99</c:v>
                </c:pt>
                <c:pt idx="10">
                  <c:v>288.67</c:v>
                </c:pt>
                <c:pt idx="11">
                  <c:v>180.56</c:v>
                </c:pt>
                <c:pt idx="12">
                  <c:v>118.54</c:v>
                </c:pt>
                <c:pt idx="13">
                  <c:v>134.03</c:v>
                </c:pt>
                <c:pt idx="14">
                  <c:v>127.09</c:v>
                </c:pt>
                <c:pt idx="15">
                  <c:v>101.32</c:v>
                </c:pt>
                <c:pt idx="16">
                  <c:v>185.4</c:v>
                </c:pt>
                <c:pt idx="17">
                  <c:v>217.23</c:v>
                </c:pt>
                <c:pt idx="18">
                  <c:v>233.7</c:v>
                </c:pt>
                <c:pt idx="19">
                  <c:v>266.38</c:v>
                </c:pt>
                <c:pt idx="20">
                  <c:v>255.5</c:v>
                </c:pt>
                <c:pt idx="21">
                  <c:v>197.37</c:v>
                </c:pt>
                <c:pt idx="22">
                  <c:v>219.46</c:v>
                </c:pt>
                <c:pt idx="23">
                  <c:v>140.31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91-412A-8308-7F173791C8CB}"/>
            </c:ext>
          </c:extLst>
        </c:ser>
        <c:ser>
          <c:idx val="4"/>
          <c:order val="1"/>
          <c:tx>
            <c:strRef>
              <c:f>WT!$A$24</c:f>
              <c:strCache>
                <c:ptCount val="1"/>
                <c:pt idx="0">
                  <c:v>Used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WT!$B$24:$Y$24</c:f>
              <c:numCache>
                <c:formatCode>General</c:formatCode>
                <c:ptCount val="24"/>
                <c:pt idx="0">
                  <c:v>400</c:v>
                </c:pt>
                <c:pt idx="1">
                  <c:v>338.51</c:v>
                </c:pt>
                <c:pt idx="2">
                  <c:v>347.43</c:v>
                </c:pt>
                <c:pt idx="3">
                  <c:v>333.57</c:v>
                </c:pt>
                <c:pt idx="4">
                  <c:v>371.75</c:v>
                </c:pt>
                <c:pt idx="5">
                  <c:v>272.38</c:v>
                </c:pt>
                <c:pt idx="6">
                  <c:v>309.17</c:v>
                </c:pt>
                <c:pt idx="7">
                  <c:v>237.33</c:v>
                </c:pt>
                <c:pt idx="8">
                  <c:v>308.58999999999997</c:v>
                </c:pt>
                <c:pt idx="9">
                  <c:v>390.99</c:v>
                </c:pt>
                <c:pt idx="10">
                  <c:v>288.67</c:v>
                </c:pt>
                <c:pt idx="11">
                  <c:v>180.56</c:v>
                </c:pt>
                <c:pt idx="12">
                  <c:v>118.54</c:v>
                </c:pt>
                <c:pt idx="13">
                  <c:v>134.03</c:v>
                </c:pt>
                <c:pt idx="14">
                  <c:v>127.09</c:v>
                </c:pt>
                <c:pt idx="15">
                  <c:v>101.32</c:v>
                </c:pt>
                <c:pt idx="16">
                  <c:v>185.4</c:v>
                </c:pt>
                <c:pt idx="17">
                  <c:v>217.23</c:v>
                </c:pt>
                <c:pt idx="18">
                  <c:v>233.7</c:v>
                </c:pt>
                <c:pt idx="19">
                  <c:v>266.38</c:v>
                </c:pt>
                <c:pt idx="20">
                  <c:v>255.5</c:v>
                </c:pt>
                <c:pt idx="21">
                  <c:v>197.37</c:v>
                </c:pt>
                <c:pt idx="22">
                  <c:v>219.46</c:v>
                </c:pt>
                <c:pt idx="23">
                  <c:v>140.31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91-412A-8308-7F173791C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327776"/>
        <c:axId val="828328256"/>
      </c:scatterChart>
      <c:valAx>
        <c:axId val="828327776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328256"/>
        <c:crosses val="autoZero"/>
        <c:crossBetween val="midCat"/>
        <c:majorUnit val="1"/>
      </c:valAx>
      <c:valAx>
        <c:axId val="82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327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85725</xdr:colOff>
      <xdr:row>10</xdr:row>
      <xdr:rowOff>165100</xdr:rowOff>
    </xdr:from>
    <xdr:to>
      <xdr:col>21</xdr:col>
      <xdr:colOff>244475</xdr:colOff>
      <xdr:row>25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73F4F7-6DF3-6712-E49A-941611D86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1360</xdr:colOff>
      <xdr:row>58</xdr:row>
      <xdr:rowOff>180521</xdr:rowOff>
    </xdr:from>
    <xdr:to>
      <xdr:col>36</xdr:col>
      <xdr:colOff>173717</xdr:colOff>
      <xdr:row>73</xdr:row>
      <xdr:rowOff>161471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66F8D-29A2-55F0-5BF9-07CD9027A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4535</xdr:colOff>
      <xdr:row>59</xdr:row>
      <xdr:rowOff>2722</xdr:rowOff>
    </xdr:from>
    <xdr:to>
      <xdr:col>46</xdr:col>
      <xdr:colOff>412749</xdr:colOff>
      <xdr:row>74</xdr:row>
      <xdr:rowOff>24494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167F2B-19C4-3B49-2D90-923D4DD5E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22</xdr:row>
      <xdr:rowOff>184896</xdr:rowOff>
    </xdr:from>
    <xdr:to>
      <xdr:col>36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B91FB-A3E4-C244-56DD-BDEF396CF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124331</xdr:colOff>
      <xdr:row>23</xdr:row>
      <xdr:rowOff>30203</xdr:rowOff>
    </xdr:from>
    <xdr:to>
      <xdr:col>46</xdr:col>
      <xdr:colOff>136071</xdr:colOff>
      <xdr:row>39</xdr:row>
      <xdr:rowOff>18143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46C0E8-C017-F90F-5ABE-6DCD8B093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194583</xdr:colOff>
      <xdr:row>35</xdr:row>
      <xdr:rowOff>1814</xdr:rowOff>
    </xdr:from>
    <xdr:to>
      <xdr:col>35</xdr:col>
      <xdr:colOff>543833</xdr:colOff>
      <xdr:row>49</xdr:row>
      <xdr:rowOff>164193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B9C55-DE95-CF8B-6663-E9E62625C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322035</xdr:colOff>
      <xdr:row>35</xdr:row>
      <xdr:rowOff>2722</xdr:rowOff>
    </xdr:from>
    <xdr:to>
      <xdr:col>44</xdr:col>
      <xdr:colOff>31749</xdr:colOff>
      <xdr:row>50</xdr:row>
      <xdr:rowOff>24493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D389B1-C83E-9CF8-B3E4-A12213CD5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322035</xdr:colOff>
      <xdr:row>51</xdr:row>
      <xdr:rowOff>102507</xdr:rowOff>
    </xdr:from>
    <xdr:to>
      <xdr:col>44</xdr:col>
      <xdr:colOff>31749</xdr:colOff>
      <xdr:row>66</xdr:row>
      <xdr:rowOff>124278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34DBA5-3743-DD20-BECE-F8105CDC0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194583</xdr:colOff>
      <xdr:row>51</xdr:row>
      <xdr:rowOff>110671</xdr:rowOff>
    </xdr:from>
    <xdr:to>
      <xdr:col>35</xdr:col>
      <xdr:colOff>543833</xdr:colOff>
      <xdr:row>66</xdr:row>
      <xdr:rowOff>91621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6135D3-C52E-CD05-A527-FC5CD5709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6D1D-CC28-45CC-B7A0-26783698B338}">
  <dimension ref="A1:C8"/>
  <sheetViews>
    <sheetView topLeftCell="A2" workbookViewId="0">
      <selection activeCell="C8" sqref="C8"/>
    </sheetView>
  </sheetViews>
  <sheetFormatPr defaultRowHeight="14.5" x14ac:dyDescent="0.35"/>
  <cols>
    <col min="2" max="2" width="25.6328125" customWidth="1"/>
  </cols>
  <sheetData>
    <row r="1" spans="1:3" x14ac:dyDescent="0.35">
      <c r="A1" t="s">
        <v>0</v>
      </c>
      <c r="B1" t="s">
        <v>2</v>
      </c>
    </row>
    <row r="2" spans="1:3" ht="130.5" x14ac:dyDescent="0.35">
      <c r="A2" s="3">
        <v>1</v>
      </c>
      <c r="B2" s="2" t="s">
        <v>1</v>
      </c>
    </row>
    <row r="3" spans="1:3" ht="145" x14ac:dyDescent="0.35">
      <c r="A3" s="3">
        <v>2</v>
      </c>
      <c r="B3" s="2" t="s">
        <v>48</v>
      </c>
      <c r="C3" s="1"/>
    </row>
    <row r="4" spans="1:3" ht="174" x14ac:dyDescent="0.35">
      <c r="A4" s="3">
        <v>3</v>
      </c>
      <c r="B4" s="2" t="s">
        <v>50</v>
      </c>
    </row>
    <row r="5" spans="1:3" ht="145" x14ac:dyDescent="0.35">
      <c r="A5" s="3">
        <v>4</v>
      </c>
      <c r="B5" s="2" t="s">
        <v>52</v>
      </c>
    </row>
    <row r="6" spans="1:3" ht="159.5" x14ac:dyDescent="0.35">
      <c r="A6" s="3">
        <v>5</v>
      </c>
      <c r="B6" s="2" t="s">
        <v>54</v>
      </c>
    </row>
    <row r="7" spans="1:3" ht="188.5" x14ac:dyDescent="0.35">
      <c r="A7" s="3">
        <v>6</v>
      </c>
      <c r="B7" s="2" t="s">
        <v>56</v>
      </c>
    </row>
    <row r="8" spans="1:3" ht="217.5" x14ac:dyDescent="0.35">
      <c r="A8" s="3">
        <v>7</v>
      </c>
      <c r="B8" s="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C33B-1C0A-427D-9F68-074BD4704CE8}">
  <dimension ref="A1:H7"/>
  <sheetViews>
    <sheetView topLeftCell="C1" workbookViewId="0">
      <selection sqref="A1:H7"/>
    </sheetView>
  </sheetViews>
  <sheetFormatPr defaultRowHeight="14.5" x14ac:dyDescent="0.35"/>
  <cols>
    <col min="1" max="1" width="15.6328125" customWidth="1"/>
    <col min="2" max="8" width="12.6328125" customWidth="1"/>
  </cols>
  <sheetData>
    <row r="1" spans="1:8" x14ac:dyDescent="0.35">
      <c r="A1" s="12" t="s">
        <v>62</v>
      </c>
      <c r="B1" s="12" t="s">
        <v>7</v>
      </c>
      <c r="C1" s="12" t="s">
        <v>49</v>
      </c>
      <c r="D1" s="12" t="s">
        <v>51</v>
      </c>
      <c r="E1" s="12" t="s">
        <v>53</v>
      </c>
      <c r="F1" s="12" t="s">
        <v>55</v>
      </c>
      <c r="G1" s="12" t="s">
        <v>57</v>
      </c>
      <c r="H1" s="12" t="s">
        <v>59</v>
      </c>
    </row>
    <row r="2" spans="1:8" x14ac:dyDescent="0.35">
      <c r="A2" s="16" t="s">
        <v>3</v>
      </c>
      <c r="B2" s="17">
        <v>3452429.39</v>
      </c>
      <c r="C2" s="17">
        <v>3506627.97</v>
      </c>
      <c r="D2" s="17">
        <v>3226209.51</v>
      </c>
      <c r="E2" s="17">
        <v>3625928.24</v>
      </c>
      <c r="F2" s="17">
        <v>3620476.72</v>
      </c>
      <c r="G2" s="17">
        <v>3388276.88</v>
      </c>
      <c r="H2" s="17">
        <v>3383101.16</v>
      </c>
    </row>
    <row r="3" spans="1:8" x14ac:dyDescent="0.35">
      <c r="A3" s="16" t="s">
        <v>4</v>
      </c>
      <c r="B3" s="17">
        <v>514953.96000000008</v>
      </c>
      <c r="C3" s="17">
        <v>507544.58</v>
      </c>
      <c r="D3" s="17">
        <v>487589.54</v>
      </c>
      <c r="E3" s="17">
        <v>555881.46</v>
      </c>
      <c r="F3" s="17">
        <v>555881.46</v>
      </c>
      <c r="G3" s="17">
        <v>555881.46</v>
      </c>
      <c r="H3" s="17">
        <v>555881.46</v>
      </c>
    </row>
    <row r="4" spans="1:8" x14ac:dyDescent="0.35">
      <c r="A4" s="16" t="s">
        <v>5</v>
      </c>
      <c r="B4" s="17">
        <v>61840</v>
      </c>
      <c r="C4" s="17">
        <v>5712</v>
      </c>
      <c r="D4" s="17">
        <v>2592</v>
      </c>
      <c r="E4" s="17">
        <v>0</v>
      </c>
      <c r="F4" s="17">
        <v>0</v>
      </c>
      <c r="G4" s="17">
        <v>0</v>
      </c>
      <c r="H4" s="17">
        <v>0</v>
      </c>
    </row>
    <row r="5" spans="1:8" x14ac:dyDescent="0.35">
      <c r="A5" s="16" t="s">
        <v>8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</row>
    <row r="6" spans="1:8" x14ac:dyDescent="0.35">
      <c r="A6" s="16" t="s">
        <v>9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</row>
    <row r="7" spans="1:8" x14ac:dyDescent="0.35">
      <c r="A7" s="16" t="s">
        <v>6</v>
      </c>
      <c r="B7" s="17">
        <v>4029223.23</v>
      </c>
      <c r="C7" s="17">
        <v>4019884.52</v>
      </c>
      <c r="D7" s="17">
        <v>3716390.94</v>
      </c>
      <c r="E7" s="17">
        <v>4181809.71</v>
      </c>
      <c r="F7" s="17">
        <v>4176358.21</v>
      </c>
      <c r="G7" s="17">
        <v>3944158.37</v>
      </c>
      <c r="H7" s="17">
        <v>3938982.65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C0C4-783E-4B6B-8556-2620C28D970C}">
  <dimension ref="A1:Y9"/>
  <sheetViews>
    <sheetView topLeftCell="C1" zoomScale="115" zoomScaleNormal="115" workbookViewId="0">
      <selection activeCell="K3" sqref="K3"/>
    </sheetView>
  </sheetViews>
  <sheetFormatPr defaultRowHeight="14.5" x14ac:dyDescent="0.35"/>
  <cols>
    <col min="1" max="1" width="4.6328125" customWidth="1"/>
    <col min="2" max="25" width="12.6328125" customWidth="1"/>
  </cols>
  <sheetData>
    <row r="1" spans="1:25" x14ac:dyDescent="0.35">
      <c r="A1" s="21" t="s">
        <v>0</v>
      </c>
      <c r="B1" s="21" t="s">
        <v>10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x14ac:dyDescent="0.35">
      <c r="A2" s="21"/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7">
        <v>17</v>
      </c>
      <c r="S2" s="7">
        <v>18</v>
      </c>
      <c r="T2" s="7">
        <v>19</v>
      </c>
      <c r="U2" s="7">
        <v>20</v>
      </c>
      <c r="V2" s="7">
        <v>21</v>
      </c>
      <c r="W2" s="7">
        <v>22</v>
      </c>
      <c r="X2" s="7">
        <v>23</v>
      </c>
      <c r="Y2" s="7">
        <v>24</v>
      </c>
    </row>
    <row r="3" spans="1:25" x14ac:dyDescent="0.35">
      <c r="A3" s="13" t="s">
        <v>7</v>
      </c>
      <c r="B3" s="17">
        <v>153313.91</v>
      </c>
      <c r="C3" s="17">
        <v>141564.67000000001</v>
      </c>
      <c r="D3" s="17">
        <v>138388.5</v>
      </c>
      <c r="E3" s="17">
        <v>136306.09</v>
      </c>
      <c r="F3" s="17">
        <v>136306.09</v>
      </c>
      <c r="G3" s="17">
        <v>141579.72</v>
      </c>
      <c r="H3" s="17">
        <v>143185.24</v>
      </c>
      <c r="I3" s="17">
        <v>141923.34</v>
      </c>
      <c r="J3" s="17">
        <v>154416.73000000001</v>
      </c>
      <c r="K3" s="17">
        <v>236345.78</v>
      </c>
      <c r="L3" s="17">
        <v>181368.91</v>
      </c>
      <c r="M3" s="17">
        <v>183989.43</v>
      </c>
      <c r="N3" s="17">
        <v>171149.5</v>
      </c>
      <c r="O3" s="17">
        <v>180078.76</v>
      </c>
      <c r="P3" s="17">
        <v>187849.19</v>
      </c>
      <c r="Q3" s="17">
        <v>185551.22</v>
      </c>
      <c r="R3" s="17">
        <v>182366.47</v>
      </c>
      <c r="S3" s="17">
        <v>177246.93</v>
      </c>
      <c r="T3" s="17">
        <v>179897.39</v>
      </c>
      <c r="U3" s="17">
        <v>189129.08</v>
      </c>
      <c r="V3" s="17">
        <v>186478.62</v>
      </c>
      <c r="W3" s="17">
        <v>181026.27</v>
      </c>
      <c r="X3" s="17">
        <v>167148.57</v>
      </c>
      <c r="Y3" s="17">
        <v>152612.82</v>
      </c>
    </row>
    <row r="4" spans="1:25" x14ac:dyDescent="0.35">
      <c r="A4" s="13" t="s">
        <v>49</v>
      </c>
      <c r="B4" s="13">
        <v>153298.29</v>
      </c>
      <c r="C4" s="13">
        <v>143929.01</v>
      </c>
      <c r="D4" s="13">
        <v>141738.37</v>
      </c>
      <c r="E4" s="13">
        <v>140870.15</v>
      </c>
      <c r="F4" s="13">
        <v>139655.97</v>
      </c>
      <c r="G4" s="13">
        <v>144929.60000000001</v>
      </c>
      <c r="H4" s="13">
        <v>148060.32</v>
      </c>
      <c r="I4" s="13">
        <v>147360.35999999999</v>
      </c>
      <c r="J4" s="13">
        <v>155451.75</v>
      </c>
      <c r="K4" s="13">
        <v>170602.41</v>
      </c>
      <c r="L4" s="13">
        <v>185468.06</v>
      </c>
      <c r="M4" s="13">
        <v>183943.56</v>
      </c>
      <c r="N4" s="13">
        <v>177253.73</v>
      </c>
      <c r="O4" s="13">
        <v>182082.92</v>
      </c>
      <c r="P4" s="13">
        <v>185753.29</v>
      </c>
      <c r="Q4" s="13">
        <v>185833.91</v>
      </c>
      <c r="R4" s="13">
        <v>185067.09</v>
      </c>
      <c r="S4" s="13">
        <v>183351.15</v>
      </c>
      <c r="T4" s="13">
        <v>189309.7</v>
      </c>
      <c r="U4" s="13">
        <v>194924.37</v>
      </c>
      <c r="V4" s="13">
        <v>185833.91</v>
      </c>
      <c r="W4" s="13">
        <v>183030.43</v>
      </c>
      <c r="X4" s="13">
        <v>161115.26999999999</v>
      </c>
      <c r="Y4" s="13">
        <v>151020.9</v>
      </c>
    </row>
    <row r="5" spans="1:25" x14ac:dyDescent="0.35">
      <c r="A5" s="13" t="s">
        <v>51</v>
      </c>
      <c r="B5" s="13">
        <v>134328.35999999999</v>
      </c>
      <c r="C5" s="13">
        <v>135097.51999999999</v>
      </c>
      <c r="D5" s="13">
        <v>132674.06</v>
      </c>
      <c r="E5" s="13">
        <v>131605.56</v>
      </c>
      <c r="F5" s="13">
        <v>132044.29999999999</v>
      </c>
      <c r="G5" s="13">
        <v>137823.41</v>
      </c>
      <c r="H5" s="13">
        <v>138468.99</v>
      </c>
      <c r="I5" s="13">
        <v>141168.6</v>
      </c>
      <c r="J5" s="13">
        <v>145225.4</v>
      </c>
      <c r="K5" s="13">
        <v>151589.04999999999</v>
      </c>
      <c r="L5" s="13">
        <v>160621.09</v>
      </c>
      <c r="M5" s="13">
        <v>170832.12</v>
      </c>
      <c r="N5" s="13">
        <v>166295.71</v>
      </c>
      <c r="O5" s="13">
        <v>167256.39000000001</v>
      </c>
      <c r="P5" s="13">
        <v>181765.49</v>
      </c>
      <c r="Q5" s="13">
        <v>180246.47</v>
      </c>
      <c r="R5" s="13">
        <v>173061.4</v>
      </c>
      <c r="S5" s="13">
        <v>167335.23000000001</v>
      </c>
      <c r="T5" s="13">
        <v>165041.51</v>
      </c>
      <c r="U5" s="13">
        <v>170292.08</v>
      </c>
      <c r="V5" s="13">
        <v>167430.73000000001</v>
      </c>
      <c r="W5" s="13">
        <v>163932.54999999999</v>
      </c>
      <c r="X5" s="13">
        <v>153022.46</v>
      </c>
      <c r="Y5" s="13">
        <v>149232.46</v>
      </c>
    </row>
    <row r="6" spans="1:25" x14ac:dyDescent="0.35">
      <c r="A6" s="13" t="s">
        <v>53</v>
      </c>
      <c r="B6" s="13">
        <v>166994.82</v>
      </c>
      <c r="C6" s="13">
        <v>154271.57</v>
      </c>
      <c r="D6" s="13">
        <v>150768.47</v>
      </c>
      <c r="E6" s="13">
        <v>148686.07</v>
      </c>
      <c r="F6" s="13">
        <v>148686.07</v>
      </c>
      <c r="G6" s="13">
        <v>153959.70000000001</v>
      </c>
      <c r="H6" s="13">
        <v>155565.22</v>
      </c>
      <c r="I6" s="13">
        <v>154303.32</v>
      </c>
      <c r="J6" s="13">
        <v>164950.85999999999</v>
      </c>
      <c r="K6" s="13">
        <v>181126.53</v>
      </c>
      <c r="L6" s="13">
        <v>187989.67</v>
      </c>
      <c r="M6" s="13">
        <v>190610.18</v>
      </c>
      <c r="N6" s="13">
        <v>177770.25</v>
      </c>
      <c r="O6" s="13">
        <v>186699.51</v>
      </c>
      <c r="P6" s="13">
        <v>194469.95</v>
      </c>
      <c r="Q6" s="13">
        <v>192171.97</v>
      </c>
      <c r="R6" s="13">
        <v>188987.23</v>
      </c>
      <c r="S6" s="13">
        <v>183867.68</v>
      </c>
      <c r="T6" s="13">
        <v>186518.14</v>
      </c>
      <c r="U6" s="13">
        <v>195749.83</v>
      </c>
      <c r="V6" s="13">
        <v>193099.37</v>
      </c>
      <c r="W6" s="13">
        <v>187647.02</v>
      </c>
      <c r="X6" s="13">
        <v>173769.33</v>
      </c>
      <c r="Y6" s="13">
        <v>163146.95000000001</v>
      </c>
    </row>
    <row r="7" spans="1:25" x14ac:dyDescent="0.35">
      <c r="A7" s="13" t="s">
        <v>55</v>
      </c>
      <c r="B7" s="13">
        <v>167449.32</v>
      </c>
      <c r="C7" s="13">
        <v>151969.78</v>
      </c>
      <c r="D7" s="13">
        <v>152662.32</v>
      </c>
      <c r="E7" s="13">
        <v>149531.6</v>
      </c>
      <c r="F7" s="13">
        <v>150773.21</v>
      </c>
      <c r="G7" s="13">
        <v>152434.5</v>
      </c>
      <c r="H7" s="13">
        <v>155565.22</v>
      </c>
      <c r="I7" s="13">
        <v>155828.51999999999</v>
      </c>
      <c r="J7" s="13">
        <v>164950.85999999999</v>
      </c>
      <c r="K7" s="13">
        <v>180326.11</v>
      </c>
      <c r="L7" s="13">
        <v>188790.1</v>
      </c>
      <c r="M7" s="13">
        <v>186510.12</v>
      </c>
      <c r="N7" s="13">
        <v>181870.32</v>
      </c>
      <c r="O7" s="13">
        <v>186699.51</v>
      </c>
      <c r="P7" s="13">
        <v>191394.9</v>
      </c>
      <c r="Q7" s="13">
        <v>192171.97</v>
      </c>
      <c r="R7" s="13">
        <v>188987.23</v>
      </c>
      <c r="S7" s="13">
        <v>186942.73</v>
      </c>
      <c r="T7" s="13">
        <v>185493.12</v>
      </c>
      <c r="U7" s="13">
        <v>191649.77</v>
      </c>
      <c r="V7" s="13">
        <v>191649.77</v>
      </c>
      <c r="W7" s="13">
        <v>184740.31</v>
      </c>
      <c r="X7" s="13">
        <v>174819.97</v>
      </c>
      <c r="Y7" s="13">
        <v>163146.95000000001</v>
      </c>
    </row>
    <row r="8" spans="1:25" x14ac:dyDescent="0.35">
      <c r="A8" s="13" t="s">
        <v>57</v>
      </c>
      <c r="B8" s="13">
        <v>160633.54999999999</v>
      </c>
      <c r="C8" s="13">
        <v>142040.48000000001</v>
      </c>
      <c r="D8" s="13">
        <v>143791.31</v>
      </c>
      <c r="E8" s="13">
        <v>140660.59</v>
      </c>
      <c r="F8" s="13">
        <v>138987.25</v>
      </c>
      <c r="G8" s="13">
        <v>146853.51</v>
      </c>
      <c r="H8" s="13">
        <v>149026.48000000001</v>
      </c>
      <c r="I8" s="13">
        <v>148111.54999999999</v>
      </c>
      <c r="J8" s="13">
        <v>154255.51</v>
      </c>
      <c r="K8" s="13">
        <v>161088.16</v>
      </c>
      <c r="L8" s="13">
        <v>173195.26</v>
      </c>
      <c r="M8" s="13">
        <v>178281.2</v>
      </c>
      <c r="N8" s="13">
        <v>171694.76</v>
      </c>
      <c r="O8" s="13">
        <v>179830.55</v>
      </c>
      <c r="P8" s="13">
        <v>187956.52</v>
      </c>
      <c r="Q8" s="13">
        <v>190054.51</v>
      </c>
      <c r="R8" s="13">
        <v>179485.47</v>
      </c>
      <c r="S8" s="13">
        <v>172734.28</v>
      </c>
      <c r="T8" s="13">
        <v>173515.6</v>
      </c>
      <c r="U8" s="13">
        <v>179022.42</v>
      </c>
      <c r="V8" s="13">
        <v>175904.82</v>
      </c>
      <c r="W8" s="13">
        <v>176250.46</v>
      </c>
      <c r="X8" s="13">
        <v>162521.57</v>
      </c>
      <c r="Y8" s="13">
        <v>158262.56</v>
      </c>
    </row>
    <row r="9" spans="1:25" x14ac:dyDescent="0.35">
      <c r="A9" s="13" t="s">
        <v>59</v>
      </c>
      <c r="B9" s="13">
        <v>160633.54999999999</v>
      </c>
      <c r="C9" s="13">
        <v>144127.63</v>
      </c>
      <c r="D9" s="13">
        <v>141704.16</v>
      </c>
      <c r="E9" s="13">
        <v>137896.28</v>
      </c>
      <c r="F9" s="13">
        <v>139117.70000000001</v>
      </c>
      <c r="G9" s="13">
        <v>146188.24</v>
      </c>
      <c r="H9" s="13">
        <v>149586.23999999999</v>
      </c>
      <c r="I9" s="13">
        <v>149422.5</v>
      </c>
      <c r="J9" s="13">
        <v>155683.94</v>
      </c>
      <c r="K9" s="13">
        <v>160645.31</v>
      </c>
      <c r="L9" s="13">
        <v>172752.41</v>
      </c>
      <c r="M9" s="13">
        <v>179770.53</v>
      </c>
      <c r="N9" s="13">
        <v>168509</v>
      </c>
      <c r="O9" s="13">
        <v>179387.71</v>
      </c>
      <c r="P9" s="13">
        <v>187513.68</v>
      </c>
      <c r="Q9" s="13">
        <v>186536.62</v>
      </c>
      <c r="R9" s="13">
        <v>179042.62</v>
      </c>
      <c r="S9" s="13">
        <v>172291.44</v>
      </c>
      <c r="T9" s="13">
        <v>174097.77</v>
      </c>
      <c r="U9" s="13">
        <v>181654.63</v>
      </c>
      <c r="V9" s="13">
        <v>176819.13</v>
      </c>
      <c r="W9" s="13">
        <v>176174.58</v>
      </c>
      <c r="X9" s="13">
        <v>161164.42000000001</v>
      </c>
      <c r="Y9" s="13">
        <v>158262.56</v>
      </c>
    </row>
  </sheetData>
  <mergeCells count="2">
    <mergeCell ref="A1:A2"/>
    <mergeCell ref="B1:Y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4287-1DBE-4ABC-AF4C-45B3592D668D}">
  <dimension ref="A1:Z109"/>
  <sheetViews>
    <sheetView zoomScale="55" zoomScaleNormal="55" workbookViewId="0">
      <selection activeCell="C111" sqref="C111"/>
    </sheetView>
  </sheetViews>
  <sheetFormatPr defaultRowHeight="14.5" x14ac:dyDescent="0.35"/>
  <cols>
    <col min="1" max="1" width="4.6328125" customWidth="1"/>
    <col min="2" max="2" width="9.6328125" customWidth="1"/>
    <col min="3" max="26" width="4.6328125" customWidth="1"/>
  </cols>
  <sheetData>
    <row r="1" spans="1:26" x14ac:dyDescent="0.35">
      <c r="A1" s="4" t="s">
        <v>7</v>
      </c>
    </row>
    <row r="2" spans="1:26" x14ac:dyDescent="0.35">
      <c r="A2" s="21" t="s">
        <v>11</v>
      </c>
      <c r="B2" s="21"/>
      <c r="C2" s="24" t="s">
        <v>10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x14ac:dyDescent="0.35">
      <c r="A3" s="21"/>
      <c r="B3" s="21"/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</row>
    <row r="4" spans="1:26" x14ac:dyDescent="0.35">
      <c r="A4" s="6" t="s">
        <v>12</v>
      </c>
      <c r="B4" s="6" t="s">
        <v>13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</row>
    <row r="5" spans="1:26" x14ac:dyDescent="0.35">
      <c r="A5" s="6" t="s">
        <v>14</v>
      </c>
      <c r="B5" s="6" t="s">
        <v>15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</row>
    <row r="6" spans="1:26" x14ac:dyDescent="0.35">
      <c r="A6" s="6" t="s">
        <v>16</v>
      </c>
      <c r="B6" s="6" t="s">
        <v>17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</row>
    <row r="7" spans="1:26" x14ac:dyDescent="0.35">
      <c r="A7" s="6" t="s">
        <v>18</v>
      </c>
      <c r="B7" s="6" t="s">
        <v>19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</row>
    <row r="8" spans="1:26" x14ac:dyDescent="0.35">
      <c r="A8" s="6" t="s">
        <v>20</v>
      </c>
      <c r="B8" s="6" t="s">
        <v>21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</row>
    <row r="9" spans="1:26" x14ac:dyDescent="0.35">
      <c r="A9" s="6" t="s">
        <v>22</v>
      </c>
      <c r="B9" s="6" t="s">
        <v>23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9">
        <v>1</v>
      </c>
      <c r="Q9" s="9">
        <v>1</v>
      </c>
      <c r="R9" s="9">
        <v>1</v>
      </c>
      <c r="S9" s="9">
        <v>1</v>
      </c>
      <c r="T9" s="9">
        <v>1</v>
      </c>
      <c r="U9" s="9">
        <v>1</v>
      </c>
      <c r="V9" s="9">
        <v>1</v>
      </c>
      <c r="W9" s="9">
        <v>1</v>
      </c>
      <c r="X9" s="9">
        <v>1</v>
      </c>
      <c r="Y9" s="9">
        <v>1</v>
      </c>
      <c r="Z9" s="9">
        <v>1</v>
      </c>
    </row>
    <row r="10" spans="1:26" x14ac:dyDescent="0.35">
      <c r="A10" s="6" t="s">
        <v>24</v>
      </c>
      <c r="B10" s="6" t="s">
        <v>25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  <c r="U10" s="9">
        <v>1</v>
      </c>
      <c r="V10" s="9">
        <v>1</v>
      </c>
      <c r="W10" s="9">
        <v>1</v>
      </c>
      <c r="X10" s="9">
        <v>1</v>
      </c>
      <c r="Y10" s="9">
        <v>1</v>
      </c>
      <c r="Z10" s="9">
        <v>1</v>
      </c>
    </row>
    <row r="11" spans="1:26" x14ac:dyDescent="0.35">
      <c r="A11" s="6" t="s">
        <v>26</v>
      </c>
      <c r="B11" s="6" t="s">
        <v>27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  <c r="U11" s="9">
        <v>1</v>
      </c>
      <c r="V11" s="9">
        <v>1</v>
      </c>
      <c r="W11" s="9">
        <v>1</v>
      </c>
      <c r="X11" s="9">
        <v>1</v>
      </c>
      <c r="Y11" s="9">
        <v>1</v>
      </c>
      <c r="Z11" s="9">
        <v>0</v>
      </c>
    </row>
    <row r="12" spans="1:26" x14ac:dyDescent="0.35">
      <c r="A12" s="6" t="s">
        <v>28</v>
      </c>
      <c r="B12" s="6" t="s">
        <v>29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1</v>
      </c>
      <c r="S12" s="9">
        <v>1</v>
      </c>
      <c r="T12" s="9">
        <v>1</v>
      </c>
      <c r="U12" s="9">
        <v>1</v>
      </c>
      <c r="V12" s="9">
        <v>1</v>
      </c>
      <c r="W12" s="9">
        <v>1</v>
      </c>
      <c r="X12" s="9">
        <v>1</v>
      </c>
      <c r="Y12" s="9">
        <v>1</v>
      </c>
      <c r="Z12" s="9">
        <v>1</v>
      </c>
    </row>
    <row r="13" spans="1:26" x14ac:dyDescent="0.35">
      <c r="A13" s="6" t="s">
        <v>30</v>
      </c>
      <c r="B13" s="6" t="s">
        <v>31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  <c r="O13" s="9">
        <v>1</v>
      </c>
      <c r="P13" s="9">
        <v>1</v>
      </c>
      <c r="Q13" s="9">
        <v>1</v>
      </c>
      <c r="R13" s="9">
        <v>1</v>
      </c>
      <c r="S13" s="9">
        <v>1</v>
      </c>
      <c r="T13" s="9">
        <v>1</v>
      </c>
      <c r="U13" s="9">
        <v>1</v>
      </c>
      <c r="V13" s="9">
        <v>1</v>
      </c>
      <c r="W13" s="9">
        <v>1</v>
      </c>
      <c r="X13" s="9">
        <v>1</v>
      </c>
      <c r="Y13" s="9">
        <v>1</v>
      </c>
      <c r="Z13" s="9">
        <v>1</v>
      </c>
    </row>
    <row r="17" spans="1:26" x14ac:dyDescent="0.35">
      <c r="A17" s="19" t="s">
        <v>49</v>
      </c>
    </row>
    <row r="18" spans="1:26" x14ac:dyDescent="0.35">
      <c r="A18" s="21" t="s">
        <v>11</v>
      </c>
      <c r="B18" s="21"/>
      <c r="C18" s="24" t="s">
        <v>10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35">
      <c r="A19" s="21"/>
      <c r="B19" s="21"/>
      <c r="C19" s="8">
        <v>1</v>
      </c>
      <c r="D19" s="8">
        <v>2</v>
      </c>
      <c r="E19" s="8">
        <v>3</v>
      </c>
      <c r="F19" s="8">
        <v>4</v>
      </c>
      <c r="G19" s="8">
        <v>5</v>
      </c>
      <c r="H19" s="8">
        <v>6</v>
      </c>
      <c r="I19" s="8">
        <v>7</v>
      </c>
      <c r="J19" s="8">
        <v>8</v>
      </c>
      <c r="K19" s="8">
        <v>9</v>
      </c>
      <c r="L19" s="8">
        <v>10</v>
      </c>
      <c r="M19" s="8">
        <v>11</v>
      </c>
      <c r="N19" s="8">
        <v>12</v>
      </c>
      <c r="O19" s="8">
        <v>13</v>
      </c>
      <c r="P19" s="8">
        <v>14</v>
      </c>
      <c r="Q19" s="8">
        <v>15</v>
      </c>
      <c r="R19" s="8">
        <v>16</v>
      </c>
      <c r="S19" s="8">
        <v>17</v>
      </c>
      <c r="T19" s="8">
        <v>18</v>
      </c>
      <c r="U19" s="8">
        <v>19</v>
      </c>
      <c r="V19" s="8">
        <v>20</v>
      </c>
      <c r="W19" s="8">
        <v>21</v>
      </c>
      <c r="X19" s="8">
        <v>22</v>
      </c>
      <c r="Y19" s="8">
        <v>23</v>
      </c>
      <c r="Z19" s="8">
        <v>24</v>
      </c>
    </row>
    <row r="20" spans="1:26" x14ac:dyDescent="0.35">
      <c r="A20" s="6" t="s">
        <v>12</v>
      </c>
      <c r="B20" s="6" t="s">
        <v>13</v>
      </c>
      <c r="C20" s="13">
        <v>1</v>
      </c>
      <c r="D20" s="13">
        <v>1</v>
      </c>
      <c r="E20" s="13">
        <v>1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3">
        <v>1</v>
      </c>
      <c r="O20" s="13">
        <v>1</v>
      </c>
      <c r="P20" s="13">
        <v>1</v>
      </c>
      <c r="Q20" s="13">
        <v>1</v>
      </c>
      <c r="R20" s="13">
        <v>1</v>
      </c>
      <c r="S20" s="13">
        <v>1</v>
      </c>
      <c r="T20" s="13">
        <v>1</v>
      </c>
      <c r="U20" s="13">
        <v>1</v>
      </c>
      <c r="V20" s="13">
        <v>1</v>
      </c>
      <c r="W20" s="13">
        <v>1</v>
      </c>
      <c r="X20" s="13">
        <v>1</v>
      </c>
      <c r="Y20" s="13">
        <v>1</v>
      </c>
      <c r="Z20" s="13">
        <v>1</v>
      </c>
    </row>
    <row r="21" spans="1:26" x14ac:dyDescent="0.35">
      <c r="A21" s="6" t="s">
        <v>14</v>
      </c>
      <c r="B21" s="6" t="s">
        <v>15</v>
      </c>
      <c r="C21" s="13">
        <v>1</v>
      </c>
      <c r="D21" s="13">
        <v>1</v>
      </c>
      <c r="E21" s="13">
        <v>1</v>
      </c>
      <c r="F21" s="13">
        <v>1</v>
      </c>
      <c r="G21" s="13">
        <v>1</v>
      </c>
      <c r="H21" s="13">
        <v>1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  <c r="N21" s="13">
        <v>1</v>
      </c>
      <c r="O21" s="13">
        <v>1</v>
      </c>
      <c r="P21" s="13">
        <v>1</v>
      </c>
      <c r="Q21" s="13">
        <v>1</v>
      </c>
      <c r="R21" s="13">
        <v>1</v>
      </c>
      <c r="S21" s="13">
        <v>1</v>
      </c>
      <c r="T21" s="13">
        <v>1</v>
      </c>
      <c r="U21" s="13">
        <v>1</v>
      </c>
      <c r="V21" s="13">
        <v>1</v>
      </c>
      <c r="W21" s="13">
        <v>1</v>
      </c>
      <c r="X21" s="13">
        <v>1</v>
      </c>
      <c r="Y21" s="13">
        <v>1</v>
      </c>
      <c r="Z21" s="13">
        <v>1</v>
      </c>
    </row>
    <row r="22" spans="1:26" x14ac:dyDescent="0.35">
      <c r="A22" s="6" t="s">
        <v>16</v>
      </c>
      <c r="B22" s="6" t="s">
        <v>17</v>
      </c>
      <c r="C22" s="13">
        <v>1</v>
      </c>
      <c r="D22" s="13">
        <v>1</v>
      </c>
      <c r="E22" s="13">
        <v>1</v>
      </c>
      <c r="F22" s="13">
        <v>1</v>
      </c>
      <c r="G22" s="13">
        <v>1</v>
      </c>
      <c r="H22" s="13">
        <v>1</v>
      </c>
      <c r="I22" s="13">
        <v>1</v>
      </c>
      <c r="J22" s="13">
        <v>1</v>
      </c>
      <c r="K22" s="13">
        <v>1</v>
      </c>
      <c r="L22" s="13">
        <v>1</v>
      </c>
      <c r="M22" s="13">
        <v>1</v>
      </c>
      <c r="N22" s="13">
        <v>1</v>
      </c>
      <c r="O22" s="13">
        <v>1</v>
      </c>
      <c r="P22" s="13">
        <v>1</v>
      </c>
      <c r="Q22" s="13">
        <v>1</v>
      </c>
      <c r="R22" s="13">
        <v>1</v>
      </c>
      <c r="S22" s="13">
        <v>1</v>
      </c>
      <c r="T22" s="13">
        <v>1</v>
      </c>
      <c r="U22" s="13">
        <v>1</v>
      </c>
      <c r="V22" s="13">
        <v>1</v>
      </c>
      <c r="W22" s="13">
        <v>1</v>
      </c>
      <c r="X22" s="13">
        <v>1</v>
      </c>
      <c r="Y22" s="13">
        <v>1</v>
      </c>
      <c r="Z22" s="13">
        <v>1</v>
      </c>
    </row>
    <row r="23" spans="1:26" x14ac:dyDescent="0.35">
      <c r="A23" s="6" t="s">
        <v>18</v>
      </c>
      <c r="B23" s="6" t="s">
        <v>19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1</v>
      </c>
      <c r="N23" s="13">
        <v>1</v>
      </c>
      <c r="O23" s="13">
        <v>1</v>
      </c>
      <c r="P23" s="13">
        <v>1</v>
      </c>
      <c r="Q23" s="13">
        <v>1</v>
      </c>
      <c r="R23" s="13">
        <v>1</v>
      </c>
      <c r="S23" s="13">
        <v>1</v>
      </c>
      <c r="T23" s="13">
        <v>1</v>
      </c>
      <c r="U23" s="13">
        <v>1</v>
      </c>
      <c r="V23" s="13">
        <v>1</v>
      </c>
      <c r="W23" s="13">
        <v>1</v>
      </c>
      <c r="X23" s="13">
        <v>1</v>
      </c>
      <c r="Y23" s="13">
        <v>0</v>
      </c>
      <c r="Z23" s="13">
        <v>0</v>
      </c>
    </row>
    <row r="24" spans="1:26" x14ac:dyDescent="0.35">
      <c r="A24" s="6" t="s">
        <v>20</v>
      </c>
      <c r="B24" s="6" t="s">
        <v>21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1</v>
      </c>
      <c r="V24" s="13">
        <v>1</v>
      </c>
      <c r="W24" s="13">
        <v>0</v>
      </c>
      <c r="X24" s="13">
        <v>0</v>
      </c>
      <c r="Y24" s="13">
        <v>0</v>
      </c>
      <c r="Z24" s="13">
        <v>0</v>
      </c>
    </row>
    <row r="25" spans="1:26" x14ac:dyDescent="0.35">
      <c r="A25" s="6" t="s">
        <v>22</v>
      </c>
      <c r="B25" s="6" t="s">
        <v>23</v>
      </c>
      <c r="C25" s="13">
        <v>1</v>
      </c>
      <c r="D25" s="13">
        <v>1</v>
      </c>
      <c r="E25" s="13">
        <v>1</v>
      </c>
      <c r="F25" s="13">
        <v>1</v>
      </c>
      <c r="G25" s="13">
        <v>1</v>
      </c>
      <c r="H25" s="13">
        <v>1</v>
      </c>
      <c r="I25" s="13">
        <v>1</v>
      </c>
      <c r="J25" s="13">
        <v>1</v>
      </c>
      <c r="K25" s="13">
        <v>1</v>
      </c>
      <c r="L25" s="13">
        <v>1</v>
      </c>
      <c r="M25" s="13">
        <v>1</v>
      </c>
      <c r="N25" s="13">
        <v>1</v>
      </c>
      <c r="O25" s="13">
        <v>1</v>
      </c>
      <c r="P25" s="13">
        <v>1</v>
      </c>
      <c r="Q25" s="13">
        <v>1</v>
      </c>
      <c r="R25" s="13">
        <v>1</v>
      </c>
      <c r="S25" s="13">
        <v>1</v>
      </c>
      <c r="T25" s="13">
        <v>1</v>
      </c>
      <c r="U25" s="13">
        <v>1</v>
      </c>
      <c r="V25" s="13">
        <v>1</v>
      </c>
      <c r="W25" s="13">
        <v>1</v>
      </c>
      <c r="X25" s="13">
        <v>1</v>
      </c>
      <c r="Y25" s="13">
        <v>1</v>
      </c>
      <c r="Z25" s="13">
        <v>1</v>
      </c>
    </row>
    <row r="26" spans="1:26" x14ac:dyDescent="0.35">
      <c r="A26" s="6" t="s">
        <v>24</v>
      </c>
      <c r="B26" s="6" t="s">
        <v>25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</row>
    <row r="27" spans="1:26" x14ac:dyDescent="0.35">
      <c r="A27" s="6" t="s">
        <v>26</v>
      </c>
      <c r="B27" s="6" t="s">
        <v>27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</row>
    <row r="28" spans="1:26" x14ac:dyDescent="0.35">
      <c r="A28" s="6" t="s">
        <v>28</v>
      </c>
      <c r="B28" s="6" t="s">
        <v>29</v>
      </c>
      <c r="C28" s="13">
        <v>1</v>
      </c>
      <c r="D28" s="13">
        <v>1</v>
      </c>
      <c r="E28" s="13">
        <v>1</v>
      </c>
      <c r="F28" s="13">
        <v>1</v>
      </c>
      <c r="G28" s="13">
        <v>1</v>
      </c>
      <c r="H28" s="13">
        <v>1</v>
      </c>
      <c r="I28" s="13">
        <v>1</v>
      </c>
      <c r="J28" s="13">
        <v>1</v>
      </c>
      <c r="K28" s="13">
        <v>1</v>
      </c>
      <c r="L28" s="13">
        <v>1</v>
      </c>
      <c r="M28" s="13">
        <v>1</v>
      </c>
      <c r="N28" s="13">
        <v>1</v>
      </c>
      <c r="O28" s="13">
        <v>1</v>
      </c>
      <c r="P28" s="13">
        <v>1</v>
      </c>
      <c r="Q28" s="13">
        <v>1</v>
      </c>
      <c r="R28" s="13">
        <v>1</v>
      </c>
      <c r="S28" s="13">
        <v>1</v>
      </c>
      <c r="T28" s="13">
        <v>1</v>
      </c>
      <c r="U28" s="13">
        <v>1</v>
      </c>
      <c r="V28" s="13">
        <v>1</v>
      </c>
      <c r="W28" s="13">
        <v>1</v>
      </c>
      <c r="X28" s="13">
        <v>1</v>
      </c>
      <c r="Y28" s="13">
        <v>1</v>
      </c>
      <c r="Z28" s="13">
        <v>1</v>
      </c>
    </row>
    <row r="29" spans="1:26" x14ac:dyDescent="0.35">
      <c r="A29" s="6" t="s">
        <v>30</v>
      </c>
      <c r="B29" s="6" t="s">
        <v>31</v>
      </c>
      <c r="C29" s="13">
        <v>1</v>
      </c>
      <c r="D29" s="13">
        <v>1</v>
      </c>
      <c r="E29" s="13">
        <v>1</v>
      </c>
      <c r="F29" s="13">
        <v>1</v>
      </c>
      <c r="G29" s="13">
        <v>1</v>
      </c>
      <c r="H29" s="13">
        <v>1</v>
      </c>
      <c r="I29" s="13">
        <v>1</v>
      </c>
      <c r="J29" s="13">
        <v>1</v>
      </c>
      <c r="K29" s="13">
        <v>1</v>
      </c>
      <c r="L29" s="13">
        <v>1</v>
      </c>
      <c r="M29" s="13">
        <v>1</v>
      </c>
      <c r="N29" s="13">
        <v>1</v>
      </c>
      <c r="O29" s="13">
        <v>1</v>
      </c>
      <c r="P29" s="13">
        <v>1</v>
      </c>
      <c r="Q29" s="13">
        <v>1</v>
      </c>
      <c r="R29" s="13">
        <v>1</v>
      </c>
      <c r="S29" s="13">
        <v>1</v>
      </c>
      <c r="T29" s="13">
        <v>1</v>
      </c>
      <c r="U29" s="13">
        <v>1</v>
      </c>
      <c r="V29" s="13">
        <v>1</v>
      </c>
      <c r="W29" s="13">
        <v>1</v>
      </c>
      <c r="X29" s="13">
        <v>1</v>
      </c>
      <c r="Y29" s="13">
        <v>1</v>
      </c>
      <c r="Z29" s="13">
        <v>1</v>
      </c>
    </row>
    <row r="33" spans="1:26" x14ac:dyDescent="0.35">
      <c r="A33" s="19" t="s">
        <v>51</v>
      </c>
    </row>
    <row r="34" spans="1:26" x14ac:dyDescent="0.35">
      <c r="A34" s="21" t="s">
        <v>11</v>
      </c>
      <c r="B34" s="21"/>
      <c r="C34" s="24" t="s">
        <v>10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35">
      <c r="A35" s="21"/>
      <c r="B35" s="21"/>
      <c r="C35" s="8">
        <v>1</v>
      </c>
      <c r="D35" s="8">
        <v>2</v>
      </c>
      <c r="E35" s="8">
        <v>3</v>
      </c>
      <c r="F35" s="8">
        <v>4</v>
      </c>
      <c r="G35" s="8">
        <v>5</v>
      </c>
      <c r="H35" s="8">
        <v>6</v>
      </c>
      <c r="I35" s="8">
        <v>7</v>
      </c>
      <c r="J35" s="8">
        <v>8</v>
      </c>
      <c r="K35" s="8">
        <v>9</v>
      </c>
      <c r="L35" s="8">
        <v>10</v>
      </c>
      <c r="M35" s="8">
        <v>11</v>
      </c>
      <c r="N35" s="8">
        <v>12</v>
      </c>
      <c r="O35" s="8">
        <v>13</v>
      </c>
      <c r="P35" s="8">
        <v>14</v>
      </c>
      <c r="Q35" s="8">
        <v>15</v>
      </c>
      <c r="R35" s="8">
        <v>16</v>
      </c>
      <c r="S35" s="8">
        <v>17</v>
      </c>
      <c r="T35" s="8">
        <v>18</v>
      </c>
      <c r="U35" s="8">
        <v>19</v>
      </c>
      <c r="V35" s="8">
        <v>20</v>
      </c>
      <c r="W35" s="8">
        <v>21</v>
      </c>
      <c r="X35" s="8">
        <v>22</v>
      </c>
      <c r="Y35" s="8">
        <v>23</v>
      </c>
      <c r="Z35" s="8">
        <v>24</v>
      </c>
    </row>
    <row r="36" spans="1:26" x14ac:dyDescent="0.35">
      <c r="A36" s="6" t="s">
        <v>12</v>
      </c>
      <c r="B36" s="6" t="s">
        <v>13</v>
      </c>
      <c r="C36" s="13">
        <v>1</v>
      </c>
      <c r="D36" s="13">
        <v>1</v>
      </c>
      <c r="E36" s="13">
        <v>1</v>
      </c>
      <c r="F36" s="13">
        <v>1</v>
      </c>
      <c r="G36" s="13">
        <v>1</v>
      </c>
      <c r="H36" s="13">
        <v>1</v>
      </c>
      <c r="I36" s="13">
        <v>1</v>
      </c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  <c r="T36" s="13">
        <v>1</v>
      </c>
      <c r="U36" s="13">
        <v>1</v>
      </c>
      <c r="V36" s="13">
        <v>1</v>
      </c>
      <c r="W36" s="13">
        <v>1</v>
      </c>
      <c r="X36" s="13">
        <v>1</v>
      </c>
      <c r="Y36" s="13">
        <v>1</v>
      </c>
      <c r="Z36" s="13">
        <v>1</v>
      </c>
    </row>
    <row r="37" spans="1:26" x14ac:dyDescent="0.35">
      <c r="A37" s="6" t="s">
        <v>14</v>
      </c>
      <c r="B37" s="6" t="s">
        <v>15</v>
      </c>
      <c r="C37" s="13">
        <v>1</v>
      </c>
      <c r="D37" s="13">
        <v>1</v>
      </c>
      <c r="E37" s="13">
        <v>1</v>
      </c>
      <c r="F37" s="13">
        <v>1</v>
      </c>
      <c r="G37" s="13">
        <v>1</v>
      </c>
      <c r="H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1</v>
      </c>
      <c r="Q37" s="13">
        <v>1</v>
      </c>
      <c r="R37" s="13">
        <v>1</v>
      </c>
      <c r="S37" s="13">
        <v>1</v>
      </c>
      <c r="T37" s="13">
        <v>1</v>
      </c>
      <c r="U37" s="13">
        <v>1</v>
      </c>
      <c r="V37" s="13">
        <v>1</v>
      </c>
      <c r="W37" s="13">
        <v>1</v>
      </c>
      <c r="X37" s="13">
        <v>1</v>
      </c>
      <c r="Y37" s="13">
        <v>1</v>
      </c>
      <c r="Z37" s="13">
        <v>1</v>
      </c>
    </row>
    <row r="38" spans="1:26" x14ac:dyDescent="0.35">
      <c r="A38" s="6" t="s">
        <v>16</v>
      </c>
      <c r="B38" s="6" t="s">
        <v>17</v>
      </c>
      <c r="C38" s="13">
        <v>1</v>
      </c>
      <c r="D38" s="13">
        <v>1</v>
      </c>
      <c r="E38" s="13">
        <v>1</v>
      </c>
      <c r="F38" s="13">
        <v>1</v>
      </c>
      <c r="G38" s="13">
        <v>1</v>
      </c>
      <c r="H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1</v>
      </c>
      <c r="O38" s="13">
        <v>1</v>
      </c>
      <c r="P38" s="13">
        <v>1</v>
      </c>
      <c r="Q38" s="13">
        <v>1</v>
      </c>
      <c r="R38" s="13">
        <v>1</v>
      </c>
      <c r="S38" s="13">
        <v>1</v>
      </c>
      <c r="T38" s="13">
        <v>1</v>
      </c>
      <c r="U38" s="13">
        <v>1</v>
      </c>
      <c r="V38" s="13">
        <v>1</v>
      </c>
      <c r="W38" s="13">
        <v>1</v>
      </c>
      <c r="X38" s="13">
        <v>1</v>
      </c>
      <c r="Y38" s="13">
        <v>1</v>
      </c>
      <c r="Z38" s="13">
        <v>1</v>
      </c>
    </row>
    <row r="39" spans="1:26" x14ac:dyDescent="0.35">
      <c r="A39" s="6" t="s">
        <v>18</v>
      </c>
      <c r="B39" s="6" t="s">
        <v>19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</row>
    <row r="40" spans="1:26" x14ac:dyDescent="0.35">
      <c r="A40" s="6" t="s">
        <v>20</v>
      </c>
      <c r="B40" s="6" t="s">
        <v>21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1</v>
      </c>
      <c r="R40" s="13">
        <v>1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</row>
    <row r="41" spans="1:26" x14ac:dyDescent="0.35">
      <c r="A41" s="6" t="s">
        <v>22</v>
      </c>
      <c r="B41" s="6" t="s">
        <v>23</v>
      </c>
      <c r="C41" s="13">
        <v>1</v>
      </c>
      <c r="D41" s="13">
        <v>1</v>
      </c>
      <c r="E41" s="13">
        <v>1</v>
      </c>
      <c r="F41" s="13">
        <v>1</v>
      </c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>
        <v>1</v>
      </c>
      <c r="M41" s="13">
        <v>1</v>
      </c>
      <c r="N41" s="13">
        <v>1</v>
      </c>
      <c r="O41" s="13">
        <v>1</v>
      </c>
      <c r="P41" s="13">
        <v>1</v>
      </c>
      <c r="Q41" s="13">
        <v>1</v>
      </c>
      <c r="R41" s="13">
        <v>1</v>
      </c>
      <c r="S41" s="13">
        <v>1</v>
      </c>
      <c r="T41" s="13">
        <v>1</v>
      </c>
      <c r="U41" s="13">
        <v>1</v>
      </c>
      <c r="V41" s="13">
        <v>1</v>
      </c>
      <c r="W41" s="13">
        <v>1</v>
      </c>
      <c r="X41" s="13">
        <v>1</v>
      </c>
      <c r="Y41" s="13">
        <v>1</v>
      </c>
      <c r="Z41" s="13">
        <v>1</v>
      </c>
    </row>
    <row r="42" spans="1:26" x14ac:dyDescent="0.35">
      <c r="A42" s="6" t="s">
        <v>24</v>
      </c>
      <c r="B42" s="6" t="s">
        <v>25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</row>
    <row r="43" spans="1:26" x14ac:dyDescent="0.35">
      <c r="A43" s="6" t="s">
        <v>26</v>
      </c>
      <c r="B43" s="6" t="s">
        <v>27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</row>
    <row r="44" spans="1:26" x14ac:dyDescent="0.35">
      <c r="A44" s="6" t="s">
        <v>28</v>
      </c>
      <c r="B44" s="6" t="s">
        <v>29</v>
      </c>
      <c r="C44" s="13">
        <v>1</v>
      </c>
      <c r="D44" s="13">
        <v>1</v>
      </c>
      <c r="E44" s="13">
        <v>1</v>
      </c>
      <c r="F44" s="13">
        <v>1</v>
      </c>
      <c r="G44" s="13">
        <v>1</v>
      </c>
      <c r="H44" s="13">
        <v>1</v>
      </c>
      <c r="I44" s="13">
        <v>1</v>
      </c>
      <c r="J44" s="13">
        <v>1</v>
      </c>
      <c r="K44" s="13">
        <v>1</v>
      </c>
      <c r="L44" s="13">
        <v>1</v>
      </c>
      <c r="M44" s="13">
        <v>1</v>
      </c>
      <c r="N44" s="13">
        <v>1</v>
      </c>
      <c r="O44" s="13">
        <v>1</v>
      </c>
      <c r="P44" s="13">
        <v>1</v>
      </c>
      <c r="Q44" s="13">
        <v>1</v>
      </c>
      <c r="R44" s="13">
        <v>1</v>
      </c>
      <c r="S44" s="13">
        <v>1</v>
      </c>
      <c r="T44" s="13">
        <v>1</v>
      </c>
      <c r="U44" s="13">
        <v>1</v>
      </c>
      <c r="V44" s="13">
        <v>1</v>
      </c>
      <c r="W44" s="13">
        <v>1</v>
      </c>
      <c r="X44" s="13">
        <v>1</v>
      </c>
      <c r="Y44" s="13">
        <v>1</v>
      </c>
      <c r="Z44" s="13">
        <v>1</v>
      </c>
    </row>
    <row r="45" spans="1:26" x14ac:dyDescent="0.35">
      <c r="A45" s="6" t="s">
        <v>30</v>
      </c>
      <c r="B45" s="6" t="s">
        <v>31</v>
      </c>
      <c r="C45" s="13">
        <v>1</v>
      </c>
      <c r="D45" s="13">
        <v>1</v>
      </c>
      <c r="E45" s="13">
        <v>1</v>
      </c>
      <c r="F45" s="13">
        <v>1</v>
      </c>
      <c r="G45" s="13">
        <v>1</v>
      </c>
      <c r="H45" s="13">
        <v>1</v>
      </c>
      <c r="I45" s="13">
        <v>1</v>
      </c>
      <c r="J45" s="13">
        <v>1</v>
      </c>
      <c r="K45" s="13">
        <v>1</v>
      </c>
      <c r="L45" s="13">
        <v>1</v>
      </c>
      <c r="M45" s="13">
        <v>1</v>
      </c>
      <c r="N45" s="13">
        <v>1</v>
      </c>
      <c r="O45" s="13">
        <v>1</v>
      </c>
      <c r="P45" s="13">
        <v>1</v>
      </c>
      <c r="Q45" s="13">
        <v>1</v>
      </c>
      <c r="R45" s="13">
        <v>1</v>
      </c>
      <c r="S45" s="13">
        <v>1</v>
      </c>
      <c r="T45" s="13">
        <v>1</v>
      </c>
      <c r="U45" s="13">
        <v>1</v>
      </c>
      <c r="V45" s="13">
        <v>1</v>
      </c>
      <c r="W45" s="13">
        <v>1</v>
      </c>
      <c r="X45" s="13">
        <v>1</v>
      </c>
      <c r="Y45" s="13">
        <v>1</v>
      </c>
      <c r="Z45" s="13">
        <v>1</v>
      </c>
    </row>
    <row r="49" spans="1:26" x14ac:dyDescent="0.35">
      <c r="A49" s="19" t="s">
        <v>53</v>
      </c>
    </row>
    <row r="50" spans="1:26" x14ac:dyDescent="0.35">
      <c r="A50" s="21" t="s">
        <v>11</v>
      </c>
      <c r="B50" s="21"/>
      <c r="C50" s="24" t="s">
        <v>10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35">
      <c r="A51" s="21"/>
      <c r="B51" s="21"/>
      <c r="C51" s="8">
        <v>1</v>
      </c>
      <c r="D51" s="8">
        <v>2</v>
      </c>
      <c r="E51" s="8">
        <v>3</v>
      </c>
      <c r="F51" s="8">
        <v>4</v>
      </c>
      <c r="G51" s="8">
        <v>5</v>
      </c>
      <c r="H51" s="8">
        <v>6</v>
      </c>
      <c r="I51" s="8">
        <v>7</v>
      </c>
      <c r="J51" s="8">
        <v>8</v>
      </c>
      <c r="K51" s="8">
        <v>9</v>
      </c>
      <c r="L51" s="8">
        <v>10</v>
      </c>
      <c r="M51" s="8">
        <v>11</v>
      </c>
      <c r="N51" s="8">
        <v>12</v>
      </c>
      <c r="O51" s="8">
        <v>13</v>
      </c>
      <c r="P51" s="8">
        <v>14</v>
      </c>
      <c r="Q51" s="8">
        <v>15</v>
      </c>
      <c r="R51" s="8">
        <v>16</v>
      </c>
      <c r="S51" s="8">
        <v>17</v>
      </c>
      <c r="T51" s="8">
        <v>18</v>
      </c>
      <c r="U51" s="8">
        <v>19</v>
      </c>
      <c r="V51" s="8">
        <v>20</v>
      </c>
      <c r="W51" s="8">
        <v>21</v>
      </c>
      <c r="X51" s="8">
        <v>22</v>
      </c>
      <c r="Y51" s="8">
        <v>23</v>
      </c>
      <c r="Z51" s="8">
        <v>24</v>
      </c>
    </row>
    <row r="52" spans="1:26" x14ac:dyDescent="0.35">
      <c r="A52" s="6" t="s">
        <v>12</v>
      </c>
      <c r="B52" s="6" t="s">
        <v>13</v>
      </c>
      <c r="C52" s="13">
        <v>1</v>
      </c>
      <c r="D52" s="13">
        <v>1</v>
      </c>
      <c r="E52" s="13">
        <v>1</v>
      </c>
      <c r="F52" s="13">
        <v>1</v>
      </c>
      <c r="G52" s="13">
        <v>1</v>
      </c>
      <c r="H52" s="13">
        <v>1</v>
      </c>
      <c r="I52" s="13">
        <v>1</v>
      </c>
      <c r="J52" s="13">
        <v>1</v>
      </c>
      <c r="K52" s="13">
        <v>1</v>
      </c>
      <c r="L52" s="13">
        <v>1</v>
      </c>
      <c r="M52" s="13">
        <v>1</v>
      </c>
      <c r="N52" s="13">
        <v>1</v>
      </c>
      <c r="O52" s="13">
        <v>1</v>
      </c>
      <c r="P52" s="13">
        <v>1</v>
      </c>
      <c r="Q52" s="13">
        <v>1</v>
      </c>
      <c r="R52" s="13">
        <v>1</v>
      </c>
      <c r="S52" s="13">
        <v>1</v>
      </c>
      <c r="T52" s="13">
        <v>1</v>
      </c>
      <c r="U52" s="13">
        <v>1</v>
      </c>
      <c r="V52" s="13">
        <v>1</v>
      </c>
      <c r="W52" s="13">
        <v>1</v>
      </c>
      <c r="X52" s="13">
        <v>1</v>
      </c>
      <c r="Y52" s="13">
        <v>1</v>
      </c>
      <c r="Z52" s="13">
        <v>1</v>
      </c>
    </row>
    <row r="53" spans="1:26" x14ac:dyDescent="0.35">
      <c r="A53" s="6" t="s">
        <v>14</v>
      </c>
      <c r="B53" s="6" t="s">
        <v>15</v>
      </c>
      <c r="C53" s="13">
        <v>1</v>
      </c>
      <c r="D53" s="13">
        <v>1</v>
      </c>
      <c r="E53" s="13">
        <v>1</v>
      </c>
      <c r="F53" s="13">
        <v>1</v>
      </c>
      <c r="G53" s="13">
        <v>1</v>
      </c>
      <c r="H53" s="13"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3">
        <v>1</v>
      </c>
      <c r="O53" s="13">
        <v>1</v>
      </c>
      <c r="P53" s="13">
        <v>1</v>
      </c>
      <c r="Q53" s="13">
        <v>1</v>
      </c>
      <c r="R53" s="13">
        <v>1</v>
      </c>
      <c r="S53" s="13">
        <v>1</v>
      </c>
      <c r="T53" s="13">
        <v>1</v>
      </c>
      <c r="U53" s="13">
        <v>1</v>
      </c>
      <c r="V53" s="13">
        <v>1</v>
      </c>
      <c r="W53" s="13">
        <v>1</v>
      </c>
      <c r="X53" s="13">
        <v>1</v>
      </c>
      <c r="Y53" s="13">
        <v>1</v>
      </c>
      <c r="Z53" s="13">
        <v>1</v>
      </c>
    </row>
    <row r="54" spans="1:26" x14ac:dyDescent="0.35">
      <c r="A54" s="6" t="s">
        <v>16</v>
      </c>
      <c r="B54" s="6" t="s">
        <v>17</v>
      </c>
      <c r="C54" s="13">
        <v>1</v>
      </c>
      <c r="D54" s="13">
        <v>1</v>
      </c>
      <c r="E54" s="13">
        <v>1</v>
      </c>
      <c r="F54" s="13">
        <v>1</v>
      </c>
      <c r="G54" s="13">
        <v>1</v>
      </c>
      <c r="H54" s="13">
        <v>1</v>
      </c>
      <c r="I54" s="13">
        <v>1</v>
      </c>
      <c r="J54" s="13">
        <v>1</v>
      </c>
      <c r="K54" s="13">
        <v>1</v>
      </c>
      <c r="L54" s="13">
        <v>1</v>
      </c>
      <c r="M54" s="13">
        <v>1</v>
      </c>
      <c r="N54" s="13">
        <v>1</v>
      </c>
      <c r="O54" s="13">
        <v>1</v>
      </c>
      <c r="P54" s="13">
        <v>1</v>
      </c>
      <c r="Q54" s="13">
        <v>1</v>
      </c>
      <c r="R54" s="13">
        <v>1</v>
      </c>
      <c r="S54" s="13">
        <v>1</v>
      </c>
      <c r="T54" s="13">
        <v>1</v>
      </c>
      <c r="U54" s="13">
        <v>1</v>
      </c>
      <c r="V54" s="13">
        <v>1</v>
      </c>
      <c r="W54" s="13">
        <v>1</v>
      </c>
      <c r="X54" s="13">
        <v>1</v>
      </c>
      <c r="Y54" s="13">
        <v>1</v>
      </c>
      <c r="Z54" s="13">
        <v>1</v>
      </c>
    </row>
    <row r="55" spans="1:26" x14ac:dyDescent="0.35">
      <c r="A55" s="6" t="s">
        <v>18</v>
      </c>
      <c r="B55" s="6" t="s">
        <v>19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</row>
    <row r="56" spans="1:26" x14ac:dyDescent="0.35">
      <c r="A56" s="6" t="s">
        <v>20</v>
      </c>
      <c r="B56" s="6" t="s">
        <v>21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</row>
    <row r="57" spans="1:26" x14ac:dyDescent="0.35">
      <c r="A57" s="6" t="s">
        <v>22</v>
      </c>
      <c r="B57" s="6" t="s">
        <v>23</v>
      </c>
      <c r="C57" s="13">
        <v>1</v>
      </c>
      <c r="D57" s="13">
        <v>1</v>
      </c>
      <c r="E57" s="13">
        <v>1</v>
      </c>
      <c r="F57" s="13">
        <v>1</v>
      </c>
      <c r="G57" s="13">
        <v>1</v>
      </c>
      <c r="H57" s="13">
        <v>1</v>
      </c>
      <c r="I57" s="13">
        <v>1</v>
      </c>
      <c r="J57" s="13">
        <v>1</v>
      </c>
      <c r="K57" s="13">
        <v>1</v>
      </c>
      <c r="L57" s="13">
        <v>1</v>
      </c>
      <c r="M57" s="13">
        <v>1</v>
      </c>
      <c r="N57" s="13">
        <v>1</v>
      </c>
      <c r="O57" s="13">
        <v>1</v>
      </c>
      <c r="P57" s="13">
        <v>1</v>
      </c>
      <c r="Q57" s="13">
        <v>1</v>
      </c>
      <c r="R57" s="13">
        <v>1</v>
      </c>
      <c r="S57" s="13">
        <v>1</v>
      </c>
      <c r="T57" s="13">
        <v>1</v>
      </c>
      <c r="U57" s="13">
        <v>1</v>
      </c>
      <c r="V57" s="13">
        <v>1</v>
      </c>
      <c r="W57" s="13">
        <v>1</v>
      </c>
      <c r="X57" s="13">
        <v>1</v>
      </c>
      <c r="Y57" s="13">
        <v>1</v>
      </c>
      <c r="Z57" s="13">
        <v>1</v>
      </c>
    </row>
    <row r="58" spans="1:26" x14ac:dyDescent="0.35">
      <c r="A58" s="6" t="s">
        <v>24</v>
      </c>
      <c r="B58" s="6" t="s">
        <v>25</v>
      </c>
      <c r="C58" s="13">
        <v>1</v>
      </c>
      <c r="D58" s="13">
        <v>1</v>
      </c>
      <c r="E58" s="13">
        <v>1</v>
      </c>
      <c r="F58" s="13">
        <v>1</v>
      </c>
      <c r="G58" s="13">
        <v>1</v>
      </c>
      <c r="H58" s="13">
        <v>1</v>
      </c>
      <c r="I58" s="13">
        <v>1</v>
      </c>
      <c r="J58" s="13">
        <v>1</v>
      </c>
      <c r="K58" s="13">
        <v>1</v>
      </c>
      <c r="L58" s="13">
        <v>1</v>
      </c>
      <c r="M58" s="13">
        <v>1</v>
      </c>
      <c r="N58" s="13">
        <v>1</v>
      </c>
      <c r="O58" s="13">
        <v>1</v>
      </c>
      <c r="P58" s="13">
        <v>1</v>
      </c>
      <c r="Q58" s="13">
        <v>1</v>
      </c>
      <c r="R58" s="13">
        <v>1</v>
      </c>
      <c r="S58" s="13">
        <v>1</v>
      </c>
      <c r="T58" s="13">
        <v>1</v>
      </c>
      <c r="U58" s="13">
        <v>1</v>
      </c>
      <c r="V58" s="13">
        <v>1</v>
      </c>
      <c r="W58" s="13">
        <v>1</v>
      </c>
      <c r="X58" s="13">
        <v>1</v>
      </c>
      <c r="Y58" s="13">
        <v>1</v>
      </c>
      <c r="Z58" s="13">
        <v>1</v>
      </c>
    </row>
    <row r="59" spans="1:26" x14ac:dyDescent="0.35">
      <c r="A59" s="6" t="s">
        <v>26</v>
      </c>
      <c r="B59" s="6" t="s">
        <v>27</v>
      </c>
      <c r="C59" s="13">
        <v>1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</row>
    <row r="60" spans="1:26" x14ac:dyDescent="0.35">
      <c r="A60" s="6" t="s">
        <v>28</v>
      </c>
      <c r="B60" s="6" t="s">
        <v>29</v>
      </c>
      <c r="C60" s="13">
        <v>1</v>
      </c>
      <c r="D60" s="13">
        <v>1</v>
      </c>
      <c r="E60" s="13">
        <v>1</v>
      </c>
      <c r="F60" s="13">
        <v>1</v>
      </c>
      <c r="G60" s="13">
        <v>1</v>
      </c>
      <c r="H60" s="13">
        <v>1</v>
      </c>
      <c r="I60" s="13">
        <v>1</v>
      </c>
      <c r="J60" s="13">
        <v>1</v>
      </c>
      <c r="K60" s="13">
        <v>1</v>
      </c>
      <c r="L60" s="13">
        <v>1</v>
      </c>
      <c r="M60" s="13">
        <v>1</v>
      </c>
      <c r="N60" s="13">
        <v>1</v>
      </c>
      <c r="O60" s="13">
        <v>1</v>
      </c>
      <c r="P60" s="13">
        <v>1</v>
      </c>
      <c r="Q60" s="13">
        <v>1</v>
      </c>
      <c r="R60" s="13">
        <v>1</v>
      </c>
      <c r="S60" s="13">
        <v>1</v>
      </c>
      <c r="T60" s="13">
        <v>1</v>
      </c>
      <c r="U60" s="13">
        <v>1</v>
      </c>
      <c r="V60" s="13">
        <v>1</v>
      </c>
      <c r="W60" s="13">
        <v>1</v>
      </c>
      <c r="X60" s="13">
        <v>1</v>
      </c>
      <c r="Y60" s="13">
        <v>1</v>
      </c>
      <c r="Z60" s="13">
        <v>1</v>
      </c>
    </row>
    <row r="61" spans="1:26" x14ac:dyDescent="0.35">
      <c r="A61" s="6" t="s">
        <v>30</v>
      </c>
      <c r="B61" s="6" t="s">
        <v>31</v>
      </c>
      <c r="C61" s="13">
        <v>1</v>
      </c>
      <c r="D61" s="13">
        <v>1</v>
      </c>
      <c r="E61" s="13">
        <v>1</v>
      </c>
      <c r="F61" s="13">
        <v>1</v>
      </c>
      <c r="G61" s="13">
        <v>1</v>
      </c>
      <c r="H61" s="13">
        <v>1</v>
      </c>
      <c r="I61" s="13">
        <v>1</v>
      </c>
      <c r="J61" s="13">
        <v>1</v>
      </c>
      <c r="K61" s="13">
        <v>1</v>
      </c>
      <c r="L61" s="13">
        <v>1</v>
      </c>
      <c r="M61" s="13">
        <v>1</v>
      </c>
      <c r="N61" s="13">
        <v>1</v>
      </c>
      <c r="O61" s="13">
        <v>1</v>
      </c>
      <c r="P61" s="13">
        <v>1</v>
      </c>
      <c r="Q61" s="13">
        <v>1</v>
      </c>
      <c r="R61" s="13">
        <v>1</v>
      </c>
      <c r="S61" s="13">
        <v>1</v>
      </c>
      <c r="T61" s="13">
        <v>1</v>
      </c>
      <c r="U61" s="13">
        <v>1</v>
      </c>
      <c r="V61" s="13">
        <v>1</v>
      </c>
      <c r="W61" s="13">
        <v>1</v>
      </c>
      <c r="X61" s="13">
        <v>1</v>
      </c>
      <c r="Y61" s="13">
        <v>1</v>
      </c>
      <c r="Z61" s="13">
        <v>1</v>
      </c>
    </row>
    <row r="65" spans="1:26" x14ac:dyDescent="0.35">
      <c r="A65" s="19" t="s">
        <v>55</v>
      </c>
    </row>
    <row r="66" spans="1:26" x14ac:dyDescent="0.35">
      <c r="A66" s="21" t="s">
        <v>11</v>
      </c>
      <c r="B66" s="21"/>
      <c r="C66" s="24" t="s">
        <v>10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35">
      <c r="A67" s="21"/>
      <c r="B67" s="21"/>
      <c r="C67" s="8">
        <v>1</v>
      </c>
      <c r="D67" s="8">
        <v>2</v>
      </c>
      <c r="E67" s="8">
        <v>3</v>
      </c>
      <c r="F67" s="8">
        <v>4</v>
      </c>
      <c r="G67" s="8">
        <v>5</v>
      </c>
      <c r="H67" s="8">
        <v>6</v>
      </c>
      <c r="I67" s="8">
        <v>7</v>
      </c>
      <c r="J67" s="8">
        <v>8</v>
      </c>
      <c r="K67" s="8">
        <v>9</v>
      </c>
      <c r="L67" s="8">
        <v>10</v>
      </c>
      <c r="M67" s="8">
        <v>11</v>
      </c>
      <c r="N67" s="8">
        <v>12</v>
      </c>
      <c r="O67" s="8">
        <v>13</v>
      </c>
      <c r="P67" s="8">
        <v>14</v>
      </c>
      <c r="Q67" s="8">
        <v>15</v>
      </c>
      <c r="R67" s="8">
        <v>16</v>
      </c>
      <c r="S67" s="8">
        <v>17</v>
      </c>
      <c r="T67" s="8">
        <v>18</v>
      </c>
      <c r="U67" s="8">
        <v>19</v>
      </c>
      <c r="V67" s="8">
        <v>20</v>
      </c>
      <c r="W67" s="8">
        <v>21</v>
      </c>
      <c r="X67" s="8">
        <v>22</v>
      </c>
      <c r="Y67" s="8">
        <v>23</v>
      </c>
      <c r="Z67" s="8">
        <v>24</v>
      </c>
    </row>
    <row r="68" spans="1:26" x14ac:dyDescent="0.35">
      <c r="A68" s="6" t="s">
        <v>12</v>
      </c>
      <c r="B68" s="6" t="s">
        <v>13</v>
      </c>
      <c r="C68" s="13">
        <v>1</v>
      </c>
      <c r="D68" s="13">
        <v>1</v>
      </c>
      <c r="E68" s="13">
        <v>1</v>
      </c>
      <c r="F68" s="13">
        <v>1</v>
      </c>
      <c r="G68" s="13">
        <v>1</v>
      </c>
      <c r="H68" s="13">
        <v>1</v>
      </c>
      <c r="I68" s="13">
        <v>1</v>
      </c>
      <c r="J68" s="13">
        <v>1</v>
      </c>
      <c r="K68" s="13">
        <v>1</v>
      </c>
      <c r="L68" s="13">
        <v>1</v>
      </c>
      <c r="M68" s="13">
        <v>1</v>
      </c>
      <c r="N68" s="13">
        <v>1</v>
      </c>
      <c r="O68" s="13">
        <v>1</v>
      </c>
      <c r="P68" s="13">
        <v>1</v>
      </c>
      <c r="Q68" s="13">
        <v>1</v>
      </c>
      <c r="R68" s="13">
        <v>1</v>
      </c>
      <c r="S68" s="13">
        <v>1</v>
      </c>
      <c r="T68" s="13">
        <v>1</v>
      </c>
      <c r="U68" s="13">
        <v>1</v>
      </c>
      <c r="V68" s="13">
        <v>1</v>
      </c>
      <c r="W68" s="13">
        <v>1</v>
      </c>
      <c r="X68" s="13">
        <v>1</v>
      </c>
      <c r="Y68" s="13">
        <v>1</v>
      </c>
      <c r="Z68" s="13">
        <v>1</v>
      </c>
    </row>
    <row r="69" spans="1:26" x14ac:dyDescent="0.35">
      <c r="A69" s="6" t="s">
        <v>14</v>
      </c>
      <c r="B69" s="6" t="s">
        <v>15</v>
      </c>
      <c r="C69" s="13">
        <v>1</v>
      </c>
      <c r="D69" s="13">
        <v>1</v>
      </c>
      <c r="E69" s="13">
        <v>1</v>
      </c>
      <c r="F69" s="13">
        <v>1</v>
      </c>
      <c r="G69" s="13">
        <v>1</v>
      </c>
      <c r="H69" s="13">
        <v>1</v>
      </c>
      <c r="I69" s="13">
        <v>1</v>
      </c>
      <c r="J69" s="13">
        <v>1</v>
      </c>
      <c r="K69" s="13">
        <v>1</v>
      </c>
      <c r="L69" s="13">
        <v>1</v>
      </c>
      <c r="M69" s="13">
        <v>1</v>
      </c>
      <c r="N69" s="13">
        <v>1</v>
      </c>
      <c r="O69" s="13">
        <v>1</v>
      </c>
      <c r="P69" s="13">
        <v>1</v>
      </c>
      <c r="Q69" s="13">
        <v>1</v>
      </c>
      <c r="R69" s="13">
        <v>1</v>
      </c>
      <c r="S69" s="13">
        <v>1</v>
      </c>
      <c r="T69" s="13">
        <v>1</v>
      </c>
      <c r="U69" s="13">
        <v>1</v>
      </c>
      <c r="V69" s="13">
        <v>1</v>
      </c>
      <c r="W69" s="13">
        <v>1</v>
      </c>
      <c r="X69" s="13">
        <v>1</v>
      </c>
      <c r="Y69" s="13">
        <v>1</v>
      </c>
      <c r="Z69" s="13">
        <v>1</v>
      </c>
    </row>
    <row r="70" spans="1:26" x14ac:dyDescent="0.35">
      <c r="A70" s="6" t="s">
        <v>16</v>
      </c>
      <c r="B70" s="6" t="s">
        <v>17</v>
      </c>
      <c r="C70" s="13">
        <v>1</v>
      </c>
      <c r="D70" s="13">
        <v>1</v>
      </c>
      <c r="E70" s="13">
        <v>1</v>
      </c>
      <c r="F70" s="13">
        <v>1</v>
      </c>
      <c r="G70" s="13">
        <v>1</v>
      </c>
      <c r="H70" s="13">
        <v>1</v>
      </c>
      <c r="I70" s="13">
        <v>1</v>
      </c>
      <c r="J70" s="13">
        <v>1</v>
      </c>
      <c r="K70" s="13">
        <v>1</v>
      </c>
      <c r="L70" s="13">
        <v>1</v>
      </c>
      <c r="M70" s="13">
        <v>1</v>
      </c>
      <c r="N70" s="13">
        <v>1</v>
      </c>
      <c r="O70" s="13">
        <v>1</v>
      </c>
      <c r="P70" s="13">
        <v>1</v>
      </c>
      <c r="Q70" s="13">
        <v>1</v>
      </c>
      <c r="R70" s="13">
        <v>1</v>
      </c>
      <c r="S70" s="13">
        <v>1</v>
      </c>
      <c r="T70" s="13">
        <v>1</v>
      </c>
      <c r="U70" s="13">
        <v>1</v>
      </c>
      <c r="V70" s="13">
        <v>1</v>
      </c>
      <c r="W70" s="13">
        <v>1</v>
      </c>
      <c r="X70" s="13">
        <v>1</v>
      </c>
      <c r="Y70" s="13">
        <v>1</v>
      </c>
      <c r="Z70" s="13">
        <v>1</v>
      </c>
    </row>
    <row r="71" spans="1:26" x14ac:dyDescent="0.35">
      <c r="A71" s="6" t="s">
        <v>18</v>
      </c>
      <c r="B71" s="6" t="s">
        <v>19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</row>
    <row r="72" spans="1:26" x14ac:dyDescent="0.35">
      <c r="A72" s="6" t="s">
        <v>20</v>
      </c>
      <c r="B72" s="6" t="s">
        <v>21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</row>
    <row r="73" spans="1:26" x14ac:dyDescent="0.35">
      <c r="A73" s="6" t="s">
        <v>22</v>
      </c>
      <c r="B73" s="6" t="s">
        <v>23</v>
      </c>
      <c r="C73" s="13">
        <v>1</v>
      </c>
      <c r="D73" s="13">
        <v>1</v>
      </c>
      <c r="E73" s="13">
        <v>1</v>
      </c>
      <c r="F73" s="13">
        <v>1</v>
      </c>
      <c r="G73" s="13">
        <v>1</v>
      </c>
      <c r="H73" s="13">
        <v>1</v>
      </c>
      <c r="I73" s="13">
        <v>1</v>
      </c>
      <c r="J73" s="13">
        <v>1</v>
      </c>
      <c r="K73" s="13">
        <v>1</v>
      </c>
      <c r="L73" s="13">
        <v>1</v>
      </c>
      <c r="M73" s="13">
        <v>1</v>
      </c>
      <c r="N73" s="13">
        <v>1</v>
      </c>
      <c r="O73" s="13">
        <v>1</v>
      </c>
      <c r="P73" s="13">
        <v>1</v>
      </c>
      <c r="Q73" s="13">
        <v>1</v>
      </c>
      <c r="R73" s="13">
        <v>1</v>
      </c>
      <c r="S73" s="13">
        <v>1</v>
      </c>
      <c r="T73" s="13">
        <v>1</v>
      </c>
      <c r="U73" s="13">
        <v>1</v>
      </c>
      <c r="V73" s="13">
        <v>1</v>
      </c>
      <c r="W73" s="13">
        <v>1</v>
      </c>
      <c r="X73" s="13">
        <v>1</v>
      </c>
      <c r="Y73" s="13">
        <v>1</v>
      </c>
      <c r="Z73" s="13">
        <v>1</v>
      </c>
    </row>
    <row r="74" spans="1:26" x14ac:dyDescent="0.35">
      <c r="A74" s="6" t="s">
        <v>24</v>
      </c>
      <c r="B74" s="6" t="s">
        <v>25</v>
      </c>
      <c r="C74" s="13">
        <v>1</v>
      </c>
      <c r="D74" s="13">
        <v>1</v>
      </c>
      <c r="E74" s="13">
        <v>1</v>
      </c>
      <c r="F74" s="13">
        <v>1</v>
      </c>
      <c r="G74" s="13">
        <v>1</v>
      </c>
      <c r="H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1</v>
      </c>
      <c r="Q74" s="13">
        <v>1</v>
      </c>
      <c r="R74" s="13">
        <v>1</v>
      </c>
      <c r="S74" s="13">
        <v>1</v>
      </c>
      <c r="T74" s="13">
        <v>1</v>
      </c>
      <c r="U74" s="13">
        <v>1</v>
      </c>
      <c r="V74" s="13">
        <v>1</v>
      </c>
      <c r="W74" s="13">
        <v>1</v>
      </c>
      <c r="X74" s="13">
        <v>1</v>
      </c>
      <c r="Y74" s="13">
        <v>1</v>
      </c>
      <c r="Z74" s="13">
        <v>1</v>
      </c>
    </row>
    <row r="75" spans="1:26" x14ac:dyDescent="0.35">
      <c r="A75" s="6" t="s">
        <v>26</v>
      </c>
      <c r="B75" s="6" t="s">
        <v>27</v>
      </c>
      <c r="C75" s="13">
        <v>1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</row>
    <row r="76" spans="1:26" x14ac:dyDescent="0.35">
      <c r="A76" s="6" t="s">
        <v>28</v>
      </c>
      <c r="B76" s="6" t="s">
        <v>29</v>
      </c>
      <c r="C76" s="13">
        <v>1</v>
      </c>
      <c r="D76" s="13">
        <v>1</v>
      </c>
      <c r="E76" s="13">
        <v>1</v>
      </c>
      <c r="F76" s="13">
        <v>1</v>
      </c>
      <c r="G76" s="13">
        <v>1</v>
      </c>
      <c r="H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1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>
        <v>1</v>
      </c>
      <c r="W76" s="13">
        <v>1</v>
      </c>
      <c r="X76" s="13">
        <v>1</v>
      </c>
      <c r="Y76" s="13">
        <v>1</v>
      </c>
      <c r="Z76" s="13">
        <v>1</v>
      </c>
    </row>
    <row r="77" spans="1:26" x14ac:dyDescent="0.35">
      <c r="A77" s="6" t="s">
        <v>30</v>
      </c>
      <c r="B77" s="6" t="s">
        <v>31</v>
      </c>
      <c r="C77" s="13">
        <v>1</v>
      </c>
      <c r="D77" s="13">
        <v>1</v>
      </c>
      <c r="E77" s="13">
        <v>1</v>
      </c>
      <c r="F77" s="13">
        <v>1</v>
      </c>
      <c r="G77" s="13">
        <v>1</v>
      </c>
      <c r="H77" s="13">
        <v>1</v>
      </c>
      <c r="I77" s="13">
        <v>1</v>
      </c>
      <c r="J77" s="13">
        <v>1</v>
      </c>
      <c r="K77" s="13">
        <v>1</v>
      </c>
      <c r="L77" s="13">
        <v>1</v>
      </c>
      <c r="M77" s="13">
        <v>1</v>
      </c>
      <c r="N77" s="13">
        <v>1</v>
      </c>
      <c r="O77" s="13">
        <v>1</v>
      </c>
      <c r="P77" s="13">
        <v>1</v>
      </c>
      <c r="Q77" s="13">
        <v>1</v>
      </c>
      <c r="R77" s="13">
        <v>1</v>
      </c>
      <c r="S77" s="13">
        <v>1</v>
      </c>
      <c r="T77" s="13">
        <v>1</v>
      </c>
      <c r="U77" s="13">
        <v>1</v>
      </c>
      <c r="V77" s="13">
        <v>1</v>
      </c>
      <c r="W77" s="13">
        <v>1</v>
      </c>
      <c r="X77" s="13">
        <v>1</v>
      </c>
      <c r="Y77" s="13">
        <v>1</v>
      </c>
      <c r="Z77" s="13">
        <v>1</v>
      </c>
    </row>
    <row r="81" spans="1:26" x14ac:dyDescent="0.35">
      <c r="A81" s="19" t="s">
        <v>57</v>
      </c>
    </row>
    <row r="82" spans="1:26" x14ac:dyDescent="0.35">
      <c r="A82" s="21" t="s">
        <v>11</v>
      </c>
      <c r="B82" s="21"/>
      <c r="C82" s="24" t="s">
        <v>10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x14ac:dyDescent="0.35">
      <c r="A83" s="21"/>
      <c r="B83" s="21"/>
      <c r="C83" s="8">
        <v>1</v>
      </c>
      <c r="D83" s="8">
        <v>2</v>
      </c>
      <c r="E83" s="8">
        <v>3</v>
      </c>
      <c r="F83" s="8">
        <v>4</v>
      </c>
      <c r="G83" s="8">
        <v>5</v>
      </c>
      <c r="H83" s="8">
        <v>6</v>
      </c>
      <c r="I83" s="8">
        <v>7</v>
      </c>
      <c r="J83" s="8">
        <v>8</v>
      </c>
      <c r="K83" s="8">
        <v>9</v>
      </c>
      <c r="L83" s="8">
        <v>10</v>
      </c>
      <c r="M83" s="8">
        <v>11</v>
      </c>
      <c r="N83" s="8">
        <v>12</v>
      </c>
      <c r="O83" s="8">
        <v>13</v>
      </c>
      <c r="P83" s="8">
        <v>14</v>
      </c>
      <c r="Q83" s="8">
        <v>15</v>
      </c>
      <c r="R83" s="8">
        <v>16</v>
      </c>
      <c r="S83" s="8">
        <v>17</v>
      </c>
      <c r="T83" s="8">
        <v>18</v>
      </c>
      <c r="U83" s="8">
        <v>19</v>
      </c>
      <c r="V83" s="8">
        <v>20</v>
      </c>
      <c r="W83" s="8">
        <v>21</v>
      </c>
      <c r="X83" s="8">
        <v>22</v>
      </c>
      <c r="Y83" s="8">
        <v>23</v>
      </c>
      <c r="Z83" s="8">
        <v>24</v>
      </c>
    </row>
    <row r="84" spans="1:26" x14ac:dyDescent="0.35">
      <c r="A84" s="6" t="s">
        <v>12</v>
      </c>
      <c r="B84" s="6" t="s">
        <v>13</v>
      </c>
      <c r="C84" s="13">
        <v>1</v>
      </c>
      <c r="D84" s="13">
        <v>1</v>
      </c>
      <c r="E84" s="13">
        <v>1</v>
      </c>
      <c r="F84" s="13">
        <v>1</v>
      </c>
      <c r="G84" s="13">
        <v>1</v>
      </c>
      <c r="H84" s="13">
        <v>1</v>
      </c>
      <c r="I84" s="13">
        <v>1</v>
      </c>
      <c r="J84" s="13">
        <v>1</v>
      </c>
      <c r="K84" s="13">
        <v>1</v>
      </c>
      <c r="L84" s="13">
        <v>1</v>
      </c>
      <c r="M84" s="13">
        <v>1</v>
      </c>
      <c r="N84" s="13">
        <v>1</v>
      </c>
      <c r="O84" s="13">
        <v>1</v>
      </c>
      <c r="P84" s="13">
        <v>1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>
        <v>1</v>
      </c>
      <c r="W84" s="13">
        <v>1</v>
      </c>
      <c r="X84" s="13">
        <v>1</v>
      </c>
      <c r="Y84" s="13">
        <v>1</v>
      </c>
      <c r="Z84" s="13">
        <v>1</v>
      </c>
    </row>
    <row r="85" spans="1:26" x14ac:dyDescent="0.35">
      <c r="A85" s="6" t="s">
        <v>14</v>
      </c>
      <c r="B85" s="6" t="s">
        <v>15</v>
      </c>
      <c r="C85" s="13">
        <v>1</v>
      </c>
      <c r="D85" s="13">
        <v>1</v>
      </c>
      <c r="E85" s="13">
        <v>1</v>
      </c>
      <c r="F85" s="13">
        <v>1</v>
      </c>
      <c r="G85" s="13">
        <v>1</v>
      </c>
      <c r="H85" s="13">
        <v>1</v>
      </c>
      <c r="I85" s="13">
        <v>1</v>
      </c>
      <c r="J85" s="13">
        <v>1</v>
      </c>
      <c r="K85" s="13">
        <v>1</v>
      </c>
      <c r="L85" s="13">
        <v>1</v>
      </c>
      <c r="M85" s="13">
        <v>1</v>
      </c>
      <c r="N85" s="13">
        <v>1</v>
      </c>
      <c r="O85" s="13">
        <v>1</v>
      </c>
      <c r="P85" s="13">
        <v>1</v>
      </c>
      <c r="Q85" s="13">
        <v>1</v>
      </c>
      <c r="R85" s="13">
        <v>1</v>
      </c>
      <c r="S85" s="13">
        <v>1</v>
      </c>
      <c r="T85" s="13">
        <v>1</v>
      </c>
      <c r="U85" s="13">
        <v>1</v>
      </c>
      <c r="V85" s="13">
        <v>1</v>
      </c>
      <c r="W85" s="13">
        <v>1</v>
      </c>
      <c r="X85" s="13">
        <v>1</v>
      </c>
      <c r="Y85" s="13">
        <v>1</v>
      </c>
      <c r="Z85" s="13">
        <v>1</v>
      </c>
    </row>
    <row r="86" spans="1:26" x14ac:dyDescent="0.35">
      <c r="A86" s="6" t="s">
        <v>16</v>
      </c>
      <c r="B86" s="6" t="s">
        <v>17</v>
      </c>
      <c r="C86" s="13">
        <v>1</v>
      </c>
      <c r="D86" s="13">
        <v>1</v>
      </c>
      <c r="E86" s="13">
        <v>1</v>
      </c>
      <c r="F86" s="13">
        <v>1</v>
      </c>
      <c r="G86" s="13">
        <v>1</v>
      </c>
      <c r="H86" s="13">
        <v>1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1</v>
      </c>
      <c r="P86" s="13">
        <v>1</v>
      </c>
      <c r="Q86" s="13">
        <v>1</v>
      </c>
      <c r="R86" s="13">
        <v>1</v>
      </c>
      <c r="S86" s="13">
        <v>1</v>
      </c>
      <c r="T86" s="13">
        <v>1</v>
      </c>
      <c r="U86" s="13">
        <v>1</v>
      </c>
      <c r="V86" s="13">
        <v>1</v>
      </c>
      <c r="W86" s="13">
        <v>1</v>
      </c>
      <c r="X86" s="13">
        <v>1</v>
      </c>
      <c r="Y86" s="13">
        <v>1</v>
      </c>
      <c r="Z86" s="13">
        <v>1</v>
      </c>
    </row>
    <row r="87" spans="1:26" x14ac:dyDescent="0.35">
      <c r="A87" s="6" t="s">
        <v>18</v>
      </c>
      <c r="B87" s="6" t="s">
        <v>19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</row>
    <row r="88" spans="1:26" x14ac:dyDescent="0.35">
      <c r="A88" s="6" t="s">
        <v>20</v>
      </c>
      <c r="B88" s="6" t="s">
        <v>21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</row>
    <row r="89" spans="1:26" x14ac:dyDescent="0.35">
      <c r="A89" s="6" t="s">
        <v>22</v>
      </c>
      <c r="B89" s="6" t="s">
        <v>23</v>
      </c>
      <c r="C89" s="13">
        <v>1</v>
      </c>
      <c r="D89" s="13">
        <v>1</v>
      </c>
      <c r="E89" s="13">
        <v>1</v>
      </c>
      <c r="F89" s="13">
        <v>1</v>
      </c>
      <c r="G89" s="13">
        <v>1</v>
      </c>
      <c r="H89" s="13">
        <v>1</v>
      </c>
      <c r="I89" s="13">
        <v>1</v>
      </c>
      <c r="J89" s="13">
        <v>1</v>
      </c>
      <c r="K89" s="13">
        <v>1</v>
      </c>
      <c r="L89" s="13">
        <v>1</v>
      </c>
      <c r="M89" s="13">
        <v>1</v>
      </c>
      <c r="N89" s="13">
        <v>1</v>
      </c>
      <c r="O89" s="13">
        <v>1</v>
      </c>
      <c r="P89" s="13">
        <v>1</v>
      </c>
      <c r="Q89" s="13">
        <v>1</v>
      </c>
      <c r="R89" s="13">
        <v>1</v>
      </c>
      <c r="S89" s="13">
        <v>1</v>
      </c>
      <c r="T89" s="13">
        <v>1</v>
      </c>
      <c r="U89" s="13">
        <v>1</v>
      </c>
      <c r="V89" s="13">
        <v>1</v>
      </c>
      <c r="W89" s="13">
        <v>1</v>
      </c>
      <c r="X89" s="13">
        <v>1</v>
      </c>
      <c r="Y89" s="13">
        <v>1</v>
      </c>
      <c r="Z89" s="13">
        <v>1</v>
      </c>
    </row>
    <row r="90" spans="1:26" x14ac:dyDescent="0.35">
      <c r="A90" s="6" t="s">
        <v>24</v>
      </c>
      <c r="B90" s="6" t="s">
        <v>25</v>
      </c>
      <c r="C90" s="13">
        <v>1</v>
      </c>
      <c r="D90" s="13">
        <v>1</v>
      </c>
      <c r="E90" s="13">
        <v>1</v>
      </c>
      <c r="F90" s="13">
        <v>1</v>
      </c>
      <c r="G90" s="13">
        <v>1</v>
      </c>
      <c r="H90" s="13">
        <v>1</v>
      </c>
      <c r="I90" s="13">
        <v>1</v>
      </c>
      <c r="J90" s="13">
        <v>1</v>
      </c>
      <c r="K90" s="13">
        <v>1</v>
      </c>
      <c r="L90" s="13">
        <v>1</v>
      </c>
      <c r="M90" s="13">
        <v>1</v>
      </c>
      <c r="N90" s="13">
        <v>1</v>
      </c>
      <c r="O90" s="13">
        <v>1</v>
      </c>
      <c r="P90" s="13">
        <v>1</v>
      </c>
      <c r="Q90" s="13">
        <v>1</v>
      </c>
      <c r="R90" s="13">
        <v>1</v>
      </c>
      <c r="S90" s="13">
        <v>1</v>
      </c>
      <c r="T90" s="13">
        <v>1</v>
      </c>
      <c r="U90" s="13">
        <v>1</v>
      </c>
      <c r="V90" s="13">
        <v>1</v>
      </c>
      <c r="W90" s="13">
        <v>1</v>
      </c>
      <c r="X90" s="13">
        <v>1</v>
      </c>
      <c r="Y90" s="13">
        <v>1</v>
      </c>
      <c r="Z90" s="13">
        <v>1</v>
      </c>
    </row>
    <row r="91" spans="1:26" x14ac:dyDescent="0.35">
      <c r="A91" s="6" t="s">
        <v>26</v>
      </c>
      <c r="B91" s="6" t="s">
        <v>27</v>
      </c>
      <c r="C91" s="13">
        <v>1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</row>
    <row r="92" spans="1:26" x14ac:dyDescent="0.35">
      <c r="A92" s="6" t="s">
        <v>28</v>
      </c>
      <c r="B92" s="6" t="s">
        <v>29</v>
      </c>
      <c r="C92" s="13">
        <v>1</v>
      </c>
      <c r="D92" s="13">
        <v>1</v>
      </c>
      <c r="E92" s="13">
        <v>1</v>
      </c>
      <c r="F92" s="13">
        <v>1</v>
      </c>
      <c r="G92" s="13">
        <v>1</v>
      </c>
      <c r="H92" s="13">
        <v>1</v>
      </c>
      <c r="I92" s="13">
        <v>1</v>
      </c>
      <c r="J92" s="13">
        <v>1</v>
      </c>
      <c r="K92" s="13">
        <v>1</v>
      </c>
      <c r="L92" s="13">
        <v>1</v>
      </c>
      <c r="M92" s="13">
        <v>1</v>
      </c>
      <c r="N92" s="13">
        <v>1</v>
      </c>
      <c r="O92" s="13">
        <v>1</v>
      </c>
      <c r="P92" s="13">
        <v>1</v>
      </c>
      <c r="Q92" s="13">
        <v>1</v>
      </c>
      <c r="R92" s="13">
        <v>1</v>
      </c>
      <c r="S92" s="13">
        <v>1</v>
      </c>
      <c r="T92" s="13">
        <v>1</v>
      </c>
      <c r="U92" s="13">
        <v>1</v>
      </c>
      <c r="V92" s="13">
        <v>1</v>
      </c>
      <c r="W92" s="13">
        <v>1</v>
      </c>
      <c r="X92" s="13">
        <v>1</v>
      </c>
      <c r="Y92" s="13">
        <v>1</v>
      </c>
      <c r="Z92" s="13">
        <v>1</v>
      </c>
    </row>
    <row r="93" spans="1:26" x14ac:dyDescent="0.35">
      <c r="A93" s="6" t="s">
        <v>30</v>
      </c>
      <c r="B93" s="6" t="s">
        <v>31</v>
      </c>
      <c r="C93" s="13">
        <v>1</v>
      </c>
      <c r="D93" s="13">
        <v>1</v>
      </c>
      <c r="E93" s="13">
        <v>1</v>
      </c>
      <c r="F93" s="13">
        <v>1</v>
      </c>
      <c r="G93" s="13">
        <v>1</v>
      </c>
      <c r="H93" s="13">
        <v>1</v>
      </c>
      <c r="I93" s="13">
        <v>1</v>
      </c>
      <c r="J93" s="13">
        <v>1</v>
      </c>
      <c r="K93" s="13">
        <v>1</v>
      </c>
      <c r="L93" s="13">
        <v>1</v>
      </c>
      <c r="M93" s="13">
        <v>1</v>
      </c>
      <c r="N93" s="13">
        <v>1</v>
      </c>
      <c r="O93" s="13">
        <v>1</v>
      </c>
      <c r="P93" s="13">
        <v>1</v>
      </c>
      <c r="Q93" s="13">
        <v>1</v>
      </c>
      <c r="R93" s="13">
        <v>1</v>
      </c>
      <c r="S93" s="13">
        <v>1</v>
      </c>
      <c r="T93" s="13">
        <v>1</v>
      </c>
      <c r="U93" s="13">
        <v>1</v>
      </c>
      <c r="V93" s="13">
        <v>1</v>
      </c>
      <c r="W93" s="13">
        <v>1</v>
      </c>
      <c r="X93" s="13">
        <v>1</v>
      </c>
      <c r="Y93" s="13">
        <v>1</v>
      </c>
      <c r="Z93" s="13">
        <v>1</v>
      </c>
    </row>
    <row r="97" spans="1:26" x14ac:dyDescent="0.35">
      <c r="A97" s="19" t="s">
        <v>59</v>
      </c>
    </row>
    <row r="98" spans="1:26" x14ac:dyDescent="0.35">
      <c r="A98" s="21" t="s">
        <v>11</v>
      </c>
      <c r="B98" s="21"/>
      <c r="C98" s="24" t="s">
        <v>10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x14ac:dyDescent="0.35">
      <c r="A99" s="21"/>
      <c r="B99" s="21"/>
      <c r="C99" s="8">
        <v>1</v>
      </c>
      <c r="D99" s="8">
        <v>2</v>
      </c>
      <c r="E99" s="8">
        <v>3</v>
      </c>
      <c r="F99" s="8">
        <v>4</v>
      </c>
      <c r="G99" s="8">
        <v>5</v>
      </c>
      <c r="H99" s="8">
        <v>6</v>
      </c>
      <c r="I99" s="8">
        <v>7</v>
      </c>
      <c r="J99" s="8">
        <v>8</v>
      </c>
      <c r="K99" s="8">
        <v>9</v>
      </c>
      <c r="L99" s="8">
        <v>10</v>
      </c>
      <c r="M99" s="8">
        <v>11</v>
      </c>
      <c r="N99" s="8">
        <v>12</v>
      </c>
      <c r="O99" s="8">
        <v>13</v>
      </c>
      <c r="P99" s="8">
        <v>14</v>
      </c>
      <c r="Q99" s="8">
        <v>15</v>
      </c>
      <c r="R99" s="8">
        <v>16</v>
      </c>
      <c r="S99" s="8">
        <v>17</v>
      </c>
      <c r="T99" s="8">
        <v>18</v>
      </c>
      <c r="U99" s="8">
        <v>19</v>
      </c>
      <c r="V99" s="8">
        <v>20</v>
      </c>
      <c r="W99" s="8">
        <v>21</v>
      </c>
      <c r="X99" s="8">
        <v>22</v>
      </c>
      <c r="Y99" s="8">
        <v>23</v>
      </c>
      <c r="Z99" s="8">
        <v>24</v>
      </c>
    </row>
    <row r="100" spans="1:26" x14ac:dyDescent="0.35">
      <c r="A100" s="6" t="s">
        <v>12</v>
      </c>
      <c r="B100" s="6" t="s">
        <v>13</v>
      </c>
      <c r="C100" s="13">
        <v>1</v>
      </c>
      <c r="D100" s="13">
        <v>1</v>
      </c>
      <c r="E100" s="13">
        <v>1</v>
      </c>
      <c r="F100" s="13">
        <v>1</v>
      </c>
      <c r="G100" s="13">
        <v>1</v>
      </c>
      <c r="H100" s="13">
        <v>1</v>
      </c>
      <c r="I100" s="13">
        <v>1</v>
      </c>
      <c r="J100" s="13">
        <v>1</v>
      </c>
      <c r="K100" s="13">
        <v>1</v>
      </c>
      <c r="L100" s="13">
        <v>1</v>
      </c>
      <c r="M100" s="13">
        <v>1</v>
      </c>
      <c r="N100" s="13">
        <v>1</v>
      </c>
      <c r="O100" s="13">
        <v>1</v>
      </c>
      <c r="P100" s="13">
        <v>1</v>
      </c>
      <c r="Q100" s="13">
        <v>1</v>
      </c>
      <c r="R100" s="13">
        <v>1</v>
      </c>
      <c r="S100" s="13">
        <v>1</v>
      </c>
      <c r="T100" s="13">
        <v>1</v>
      </c>
      <c r="U100" s="13">
        <v>1</v>
      </c>
      <c r="V100" s="13">
        <v>1</v>
      </c>
      <c r="W100" s="13">
        <v>1</v>
      </c>
      <c r="X100" s="13">
        <v>1</v>
      </c>
      <c r="Y100" s="13">
        <v>1</v>
      </c>
      <c r="Z100" s="13">
        <v>1</v>
      </c>
    </row>
    <row r="101" spans="1:26" x14ac:dyDescent="0.35">
      <c r="A101" s="6" t="s">
        <v>14</v>
      </c>
      <c r="B101" s="6" t="s">
        <v>15</v>
      </c>
      <c r="C101" s="13">
        <v>1</v>
      </c>
      <c r="D101" s="13">
        <v>1</v>
      </c>
      <c r="E101" s="13">
        <v>1</v>
      </c>
      <c r="F101" s="13">
        <v>1</v>
      </c>
      <c r="G101" s="13">
        <v>1</v>
      </c>
      <c r="H101" s="13">
        <v>1</v>
      </c>
      <c r="I101" s="13">
        <v>1</v>
      </c>
      <c r="J101" s="13">
        <v>1</v>
      </c>
      <c r="K101" s="13">
        <v>1</v>
      </c>
      <c r="L101" s="13">
        <v>1</v>
      </c>
      <c r="M101" s="13">
        <v>1</v>
      </c>
      <c r="N101" s="13">
        <v>1</v>
      </c>
      <c r="O101" s="13">
        <v>1</v>
      </c>
      <c r="P101" s="13">
        <v>1</v>
      </c>
      <c r="Q101" s="13">
        <v>1</v>
      </c>
      <c r="R101" s="13">
        <v>1</v>
      </c>
      <c r="S101" s="13">
        <v>1</v>
      </c>
      <c r="T101" s="13">
        <v>1</v>
      </c>
      <c r="U101" s="13">
        <v>1</v>
      </c>
      <c r="V101" s="13">
        <v>1</v>
      </c>
      <c r="W101" s="13">
        <v>1</v>
      </c>
      <c r="X101" s="13">
        <v>1</v>
      </c>
      <c r="Y101" s="13">
        <v>1</v>
      </c>
      <c r="Z101" s="13">
        <v>1</v>
      </c>
    </row>
    <row r="102" spans="1:26" x14ac:dyDescent="0.35">
      <c r="A102" s="6" t="s">
        <v>16</v>
      </c>
      <c r="B102" s="6" t="s">
        <v>17</v>
      </c>
      <c r="C102" s="13">
        <v>1</v>
      </c>
      <c r="D102" s="13">
        <v>1</v>
      </c>
      <c r="E102" s="13">
        <v>1</v>
      </c>
      <c r="F102" s="13">
        <v>1</v>
      </c>
      <c r="G102" s="13">
        <v>1</v>
      </c>
      <c r="H102" s="13">
        <v>1</v>
      </c>
      <c r="I102" s="13">
        <v>1</v>
      </c>
      <c r="J102" s="13">
        <v>1</v>
      </c>
      <c r="K102" s="13">
        <v>1</v>
      </c>
      <c r="L102" s="13">
        <v>1</v>
      </c>
      <c r="M102" s="13">
        <v>1</v>
      </c>
      <c r="N102" s="13">
        <v>1</v>
      </c>
      <c r="O102" s="13">
        <v>1</v>
      </c>
      <c r="P102" s="13">
        <v>1</v>
      </c>
      <c r="Q102" s="13">
        <v>1</v>
      </c>
      <c r="R102" s="13">
        <v>1</v>
      </c>
      <c r="S102" s="13">
        <v>1</v>
      </c>
      <c r="T102" s="13">
        <v>1</v>
      </c>
      <c r="U102" s="13">
        <v>1</v>
      </c>
      <c r="V102" s="13">
        <v>1</v>
      </c>
      <c r="W102" s="13">
        <v>1</v>
      </c>
      <c r="X102" s="13">
        <v>1</v>
      </c>
      <c r="Y102" s="13">
        <v>1</v>
      </c>
      <c r="Z102" s="13">
        <v>1</v>
      </c>
    </row>
    <row r="103" spans="1:26" x14ac:dyDescent="0.35">
      <c r="A103" s="6" t="s">
        <v>18</v>
      </c>
      <c r="B103" s="6" t="s">
        <v>19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</row>
    <row r="104" spans="1:26" x14ac:dyDescent="0.35">
      <c r="A104" s="6" t="s">
        <v>20</v>
      </c>
      <c r="B104" s="6" t="s">
        <v>21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</row>
    <row r="105" spans="1:26" x14ac:dyDescent="0.35">
      <c r="A105" s="6" t="s">
        <v>22</v>
      </c>
      <c r="B105" s="6" t="s">
        <v>23</v>
      </c>
      <c r="C105" s="13">
        <v>1</v>
      </c>
      <c r="D105" s="13">
        <v>1</v>
      </c>
      <c r="E105" s="13">
        <v>1</v>
      </c>
      <c r="F105" s="13">
        <v>1</v>
      </c>
      <c r="G105" s="13">
        <v>1</v>
      </c>
      <c r="H105" s="13">
        <v>1</v>
      </c>
      <c r="I105" s="13">
        <v>1</v>
      </c>
      <c r="J105" s="13">
        <v>1</v>
      </c>
      <c r="K105" s="13">
        <v>1</v>
      </c>
      <c r="L105" s="13">
        <v>1</v>
      </c>
      <c r="M105" s="13">
        <v>1</v>
      </c>
      <c r="N105" s="13">
        <v>1</v>
      </c>
      <c r="O105" s="13">
        <v>1</v>
      </c>
      <c r="P105" s="13">
        <v>1</v>
      </c>
      <c r="Q105" s="13">
        <v>1</v>
      </c>
      <c r="R105" s="13">
        <v>1</v>
      </c>
      <c r="S105" s="13">
        <v>1</v>
      </c>
      <c r="T105" s="13">
        <v>1</v>
      </c>
      <c r="U105" s="13">
        <v>1</v>
      </c>
      <c r="V105" s="13">
        <v>1</v>
      </c>
      <c r="W105" s="13">
        <v>1</v>
      </c>
      <c r="X105" s="13">
        <v>1</v>
      </c>
      <c r="Y105" s="13">
        <v>1</v>
      </c>
      <c r="Z105" s="13">
        <v>1</v>
      </c>
    </row>
    <row r="106" spans="1:26" x14ac:dyDescent="0.35">
      <c r="A106" s="6" t="s">
        <v>24</v>
      </c>
      <c r="B106" s="6" t="s">
        <v>25</v>
      </c>
      <c r="C106" s="13">
        <v>1</v>
      </c>
      <c r="D106" s="13">
        <v>1</v>
      </c>
      <c r="E106" s="13">
        <v>1</v>
      </c>
      <c r="F106" s="13">
        <v>1</v>
      </c>
      <c r="G106" s="13">
        <v>1</v>
      </c>
      <c r="H106" s="13">
        <v>1</v>
      </c>
      <c r="I106" s="13">
        <v>1</v>
      </c>
      <c r="J106" s="13">
        <v>1</v>
      </c>
      <c r="K106" s="13">
        <v>1</v>
      </c>
      <c r="L106" s="13">
        <v>1</v>
      </c>
      <c r="M106" s="13">
        <v>1</v>
      </c>
      <c r="N106" s="13">
        <v>1</v>
      </c>
      <c r="O106" s="13">
        <v>1</v>
      </c>
      <c r="P106" s="13">
        <v>1</v>
      </c>
      <c r="Q106" s="13">
        <v>1</v>
      </c>
      <c r="R106" s="13">
        <v>1</v>
      </c>
      <c r="S106" s="13">
        <v>1</v>
      </c>
      <c r="T106" s="13">
        <v>1</v>
      </c>
      <c r="U106" s="13">
        <v>1</v>
      </c>
      <c r="V106" s="13">
        <v>1</v>
      </c>
      <c r="W106" s="13">
        <v>1</v>
      </c>
      <c r="X106" s="13">
        <v>1</v>
      </c>
      <c r="Y106" s="13">
        <v>1</v>
      </c>
      <c r="Z106" s="13">
        <v>1</v>
      </c>
    </row>
    <row r="107" spans="1:26" x14ac:dyDescent="0.35">
      <c r="A107" s="6" t="s">
        <v>26</v>
      </c>
      <c r="B107" s="6" t="s">
        <v>27</v>
      </c>
      <c r="C107" s="13">
        <v>1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</row>
    <row r="108" spans="1:26" x14ac:dyDescent="0.35">
      <c r="A108" s="6" t="s">
        <v>28</v>
      </c>
      <c r="B108" s="6" t="s">
        <v>29</v>
      </c>
      <c r="C108" s="13">
        <v>1</v>
      </c>
      <c r="D108" s="13">
        <v>1</v>
      </c>
      <c r="E108" s="13">
        <v>1</v>
      </c>
      <c r="F108" s="13">
        <v>1</v>
      </c>
      <c r="G108" s="13">
        <v>1</v>
      </c>
      <c r="H108" s="13">
        <v>1</v>
      </c>
      <c r="I108" s="13">
        <v>1</v>
      </c>
      <c r="J108" s="13">
        <v>1</v>
      </c>
      <c r="K108" s="13">
        <v>1</v>
      </c>
      <c r="L108" s="13">
        <v>1</v>
      </c>
      <c r="M108" s="13">
        <v>1</v>
      </c>
      <c r="N108" s="13">
        <v>1</v>
      </c>
      <c r="O108" s="13">
        <v>1</v>
      </c>
      <c r="P108" s="13">
        <v>1</v>
      </c>
      <c r="Q108" s="13">
        <v>1</v>
      </c>
      <c r="R108" s="13">
        <v>1</v>
      </c>
      <c r="S108" s="13">
        <v>1</v>
      </c>
      <c r="T108" s="13">
        <v>1</v>
      </c>
      <c r="U108" s="13">
        <v>1</v>
      </c>
      <c r="V108" s="13">
        <v>1</v>
      </c>
      <c r="W108" s="13">
        <v>1</v>
      </c>
      <c r="X108" s="13">
        <v>1</v>
      </c>
      <c r="Y108" s="13">
        <v>1</v>
      </c>
      <c r="Z108" s="13">
        <v>1</v>
      </c>
    </row>
    <row r="109" spans="1:26" x14ac:dyDescent="0.35">
      <c r="A109" s="6" t="s">
        <v>30</v>
      </c>
      <c r="B109" s="6" t="s">
        <v>31</v>
      </c>
      <c r="C109" s="13">
        <v>1</v>
      </c>
      <c r="D109" s="13">
        <v>1</v>
      </c>
      <c r="E109" s="13">
        <v>1</v>
      </c>
      <c r="F109" s="13">
        <v>1</v>
      </c>
      <c r="G109" s="13">
        <v>1</v>
      </c>
      <c r="H109" s="13">
        <v>1</v>
      </c>
      <c r="I109" s="13">
        <v>1</v>
      </c>
      <c r="J109" s="13">
        <v>1</v>
      </c>
      <c r="K109" s="13">
        <v>1</v>
      </c>
      <c r="L109" s="13">
        <v>1</v>
      </c>
      <c r="M109" s="13">
        <v>1</v>
      </c>
      <c r="N109" s="13">
        <v>1</v>
      </c>
      <c r="O109" s="13">
        <v>1</v>
      </c>
      <c r="P109" s="13">
        <v>1</v>
      </c>
      <c r="Q109" s="13">
        <v>1</v>
      </c>
      <c r="R109" s="13">
        <v>1</v>
      </c>
      <c r="S109" s="13">
        <v>1</v>
      </c>
      <c r="T109" s="13">
        <v>1</v>
      </c>
      <c r="U109" s="13">
        <v>1</v>
      </c>
      <c r="V109" s="13">
        <v>1</v>
      </c>
      <c r="W109" s="13">
        <v>1</v>
      </c>
      <c r="X109" s="13">
        <v>1</v>
      </c>
      <c r="Y109" s="13">
        <v>1</v>
      </c>
      <c r="Z109" s="13">
        <v>1</v>
      </c>
    </row>
  </sheetData>
  <mergeCells count="14">
    <mergeCell ref="A2:B3"/>
    <mergeCell ref="C2:Z2"/>
    <mergeCell ref="A18:B19"/>
    <mergeCell ref="C18:Z18"/>
    <mergeCell ref="A34:B35"/>
    <mergeCell ref="C34:Z34"/>
    <mergeCell ref="A98:B99"/>
    <mergeCell ref="C98:Z98"/>
    <mergeCell ref="A50:B51"/>
    <mergeCell ref="C50:Z50"/>
    <mergeCell ref="A66:B67"/>
    <mergeCell ref="C66:Z66"/>
    <mergeCell ref="A82:B83"/>
    <mergeCell ref="C82:Z82"/>
  </mergeCells>
  <conditionalFormatting sqref="C4:Z13">
    <cfRule type="cellIs" dxfId="46" priority="7" operator="equal">
      <formula>1</formula>
    </cfRule>
  </conditionalFormatting>
  <conditionalFormatting sqref="C20:Z29">
    <cfRule type="cellIs" dxfId="45" priority="6" operator="equal">
      <formula>1</formula>
    </cfRule>
  </conditionalFormatting>
  <conditionalFormatting sqref="C36:Z45">
    <cfRule type="cellIs" dxfId="44" priority="5" operator="equal">
      <formula>1</formula>
    </cfRule>
  </conditionalFormatting>
  <conditionalFormatting sqref="C52:Z61">
    <cfRule type="cellIs" dxfId="43" priority="4" operator="equal">
      <formula>1</formula>
    </cfRule>
  </conditionalFormatting>
  <conditionalFormatting sqref="C68:Z77">
    <cfRule type="cellIs" dxfId="42" priority="3" operator="equal">
      <formula>1</formula>
    </cfRule>
  </conditionalFormatting>
  <conditionalFormatting sqref="C84:Z93">
    <cfRule type="cellIs" dxfId="41" priority="2" operator="equal">
      <formula>1</formula>
    </cfRule>
  </conditionalFormatting>
  <conditionalFormatting sqref="C100:Z109">
    <cfRule type="cellIs" dxfId="40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DE95-B2A6-4C1D-8BCF-7243B9D04FF1}">
  <dimension ref="A1:Z130"/>
  <sheetViews>
    <sheetView workbookViewId="0">
      <selection activeCell="L4" sqref="L4"/>
    </sheetView>
  </sheetViews>
  <sheetFormatPr defaultRowHeight="14.5" x14ac:dyDescent="0.35"/>
  <cols>
    <col min="1" max="1" width="4.6328125" customWidth="1"/>
    <col min="2" max="2" width="9.6328125" customWidth="1"/>
    <col min="3" max="3" width="9" bestFit="1" customWidth="1"/>
    <col min="4" max="4" width="8.81640625" bestFit="1" customWidth="1"/>
    <col min="5" max="7" width="9" bestFit="1" customWidth="1"/>
    <col min="8" max="9" width="8.81640625" bestFit="1" customWidth="1"/>
    <col min="10" max="10" width="9" bestFit="1" customWidth="1"/>
    <col min="11" max="12" width="8.81640625" bestFit="1" customWidth="1"/>
    <col min="13" max="13" width="9" bestFit="1" customWidth="1"/>
    <col min="14" max="14" width="8.81640625" bestFit="1" customWidth="1"/>
    <col min="15" max="15" width="9" bestFit="1" customWidth="1"/>
    <col min="16" max="19" width="8.81640625" bestFit="1" customWidth="1"/>
    <col min="20" max="20" width="9" bestFit="1" customWidth="1"/>
    <col min="21" max="24" width="8.81640625" bestFit="1" customWidth="1"/>
    <col min="25" max="25" width="9" bestFit="1" customWidth="1"/>
    <col min="26" max="26" width="8.81640625" bestFit="1" customWidth="1"/>
  </cols>
  <sheetData>
    <row r="1" spans="1:26" x14ac:dyDescent="0.35">
      <c r="A1" t="s">
        <v>7</v>
      </c>
    </row>
    <row r="2" spans="1:26" x14ac:dyDescent="0.35">
      <c r="A2" s="21" t="s">
        <v>11</v>
      </c>
      <c r="B2" s="21"/>
      <c r="C2" s="22" t="s">
        <v>10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x14ac:dyDescent="0.35">
      <c r="A3" s="21"/>
      <c r="B3" s="21"/>
      <c r="C3" s="12">
        <v>1</v>
      </c>
      <c r="D3" s="12">
        <v>2</v>
      </c>
      <c r="E3" s="12">
        <v>3</v>
      </c>
      <c r="F3" s="12">
        <v>4</v>
      </c>
      <c r="G3" s="12">
        <v>5</v>
      </c>
      <c r="H3" s="12">
        <v>6</v>
      </c>
      <c r="I3" s="12">
        <v>7</v>
      </c>
      <c r="J3" s="12">
        <v>8</v>
      </c>
      <c r="K3" s="12">
        <v>9</v>
      </c>
      <c r="L3" s="12">
        <v>10</v>
      </c>
      <c r="M3" s="12">
        <v>11</v>
      </c>
      <c r="N3" s="12">
        <v>12</v>
      </c>
      <c r="O3" s="12">
        <v>13</v>
      </c>
      <c r="P3" s="12">
        <v>14</v>
      </c>
      <c r="Q3" s="12">
        <v>15</v>
      </c>
      <c r="R3" s="12">
        <v>16</v>
      </c>
      <c r="S3" s="12">
        <v>17</v>
      </c>
      <c r="T3" s="12">
        <v>18</v>
      </c>
      <c r="U3" s="12">
        <v>19</v>
      </c>
      <c r="V3" s="12">
        <v>20</v>
      </c>
      <c r="W3" s="12">
        <v>21</v>
      </c>
      <c r="X3" s="12">
        <v>22</v>
      </c>
      <c r="Y3" s="12">
        <v>23</v>
      </c>
      <c r="Z3" s="12">
        <v>24</v>
      </c>
    </row>
    <row r="4" spans="1:26" x14ac:dyDescent="0.35">
      <c r="A4" s="6" t="s">
        <v>12</v>
      </c>
      <c r="B4" s="10" t="s">
        <v>13</v>
      </c>
      <c r="C4" s="13">
        <v>1176</v>
      </c>
      <c r="D4" s="13">
        <v>1176</v>
      </c>
      <c r="E4" s="13">
        <v>1176</v>
      </c>
      <c r="F4" s="13">
        <v>1176</v>
      </c>
      <c r="G4" s="13">
        <v>1176</v>
      </c>
      <c r="H4" s="13">
        <v>1176</v>
      </c>
      <c r="I4" s="13">
        <v>1176</v>
      </c>
      <c r="J4" s="13">
        <v>1167.69</v>
      </c>
      <c r="K4" s="13">
        <v>1176</v>
      </c>
      <c r="L4" s="13">
        <v>1176</v>
      </c>
      <c r="M4" s="13">
        <v>1176</v>
      </c>
      <c r="N4" s="13">
        <v>1176</v>
      </c>
      <c r="O4" s="13">
        <v>1176</v>
      </c>
      <c r="P4" s="13">
        <v>1176</v>
      </c>
      <c r="Q4" s="13">
        <v>1176</v>
      </c>
      <c r="R4" s="13">
        <v>1176</v>
      </c>
      <c r="S4" s="13">
        <v>1176</v>
      </c>
      <c r="T4" s="13">
        <v>1176</v>
      </c>
      <c r="U4" s="13">
        <v>1176</v>
      </c>
      <c r="V4" s="13">
        <v>1176</v>
      </c>
      <c r="W4" s="13">
        <v>1176</v>
      </c>
      <c r="X4" s="13">
        <v>1176</v>
      </c>
      <c r="Y4" s="13">
        <v>1176</v>
      </c>
      <c r="Z4" s="13">
        <v>1176</v>
      </c>
    </row>
    <row r="5" spans="1:26" x14ac:dyDescent="0.35">
      <c r="A5" s="6" t="s">
        <v>14</v>
      </c>
      <c r="B5" s="10" t="s">
        <v>15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</row>
    <row r="6" spans="1:26" x14ac:dyDescent="0.35">
      <c r="A6" s="6" t="s">
        <v>16</v>
      </c>
      <c r="B6" s="10" t="s">
        <v>17</v>
      </c>
      <c r="C6" s="13">
        <v>720</v>
      </c>
      <c r="D6" s="13">
        <v>840</v>
      </c>
      <c r="E6" s="13">
        <v>915.2</v>
      </c>
      <c r="F6" s="13">
        <v>827.52</v>
      </c>
      <c r="G6" s="13">
        <v>707.52</v>
      </c>
      <c r="H6" s="13">
        <v>827.52</v>
      </c>
      <c r="I6" s="13">
        <v>889.06</v>
      </c>
      <c r="J6" s="13">
        <v>849</v>
      </c>
      <c r="K6" s="13">
        <v>969</v>
      </c>
      <c r="L6" s="13">
        <v>969</v>
      </c>
      <c r="M6" s="13">
        <v>969</v>
      </c>
      <c r="N6" s="13">
        <v>969</v>
      </c>
      <c r="O6" s="13">
        <v>969</v>
      </c>
      <c r="P6" s="13">
        <v>969</v>
      </c>
      <c r="Q6" s="13">
        <v>969</v>
      </c>
      <c r="R6" s="13">
        <v>969</v>
      </c>
      <c r="S6" s="13">
        <v>969</v>
      </c>
      <c r="T6" s="13">
        <v>969</v>
      </c>
      <c r="U6" s="13">
        <v>969</v>
      </c>
      <c r="V6" s="13">
        <v>969</v>
      </c>
      <c r="W6" s="13">
        <v>969</v>
      </c>
      <c r="X6" s="13">
        <v>969</v>
      </c>
      <c r="Y6" s="13">
        <v>969</v>
      </c>
      <c r="Z6" s="13">
        <v>969</v>
      </c>
    </row>
    <row r="7" spans="1:26" x14ac:dyDescent="0.35">
      <c r="A7" s="6" t="s">
        <v>18</v>
      </c>
      <c r="B7" s="10" t="s">
        <v>19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</row>
    <row r="8" spans="1:26" x14ac:dyDescent="0.35">
      <c r="A8" s="6" t="s">
        <v>20</v>
      </c>
      <c r="B8" s="10" t="s">
        <v>21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</row>
    <row r="9" spans="1:26" x14ac:dyDescent="0.35">
      <c r="A9" s="6" t="s">
        <v>22</v>
      </c>
      <c r="B9" s="10" t="s">
        <v>23</v>
      </c>
      <c r="C9" s="13">
        <v>550</v>
      </c>
      <c r="D9" s="13">
        <v>289.17</v>
      </c>
      <c r="E9" s="13">
        <v>250</v>
      </c>
      <c r="F9" s="13">
        <v>250</v>
      </c>
      <c r="G9" s="13">
        <v>250</v>
      </c>
      <c r="H9" s="13">
        <v>250</v>
      </c>
      <c r="I9" s="13">
        <v>250</v>
      </c>
      <c r="J9" s="13">
        <v>250</v>
      </c>
      <c r="K9" s="13">
        <v>250</v>
      </c>
      <c r="L9" s="13">
        <v>396.22</v>
      </c>
      <c r="M9" s="13">
        <v>250</v>
      </c>
      <c r="N9" s="13">
        <v>250</v>
      </c>
      <c r="O9" s="13">
        <v>299.47000000000003</v>
      </c>
      <c r="P9" s="13">
        <v>250</v>
      </c>
      <c r="Q9" s="13">
        <v>250</v>
      </c>
      <c r="R9" s="13">
        <v>250</v>
      </c>
      <c r="S9" s="13">
        <v>250</v>
      </c>
      <c r="T9" s="13">
        <v>250</v>
      </c>
      <c r="U9" s="13">
        <v>250</v>
      </c>
      <c r="V9" s="13">
        <v>250</v>
      </c>
      <c r="W9" s="13">
        <v>250</v>
      </c>
      <c r="X9" s="13">
        <v>250</v>
      </c>
      <c r="Y9" s="13">
        <v>250</v>
      </c>
      <c r="Z9" s="13">
        <v>393.26</v>
      </c>
    </row>
    <row r="10" spans="1:26" x14ac:dyDescent="0.35">
      <c r="A10" s="6" t="s">
        <v>24</v>
      </c>
      <c r="B10" s="10" t="s">
        <v>25</v>
      </c>
      <c r="C10" s="13">
        <v>399.68</v>
      </c>
      <c r="D10" s="13">
        <v>248</v>
      </c>
      <c r="E10" s="13">
        <v>248</v>
      </c>
      <c r="F10" s="13">
        <v>248</v>
      </c>
      <c r="G10" s="13">
        <v>248</v>
      </c>
      <c r="H10" s="13">
        <v>248</v>
      </c>
      <c r="I10" s="13">
        <v>248</v>
      </c>
      <c r="J10" s="13">
        <v>248</v>
      </c>
      <c r="K10" s="13">
        <v>426.45</v>
      </c>
      <c r="L10" s="13">
        <v>248</v>
      </c>
      <c r="M10" s="13">
        <v>496.87</v>
      </c>
      <c r="N10" s="13">
        <v>248</v>
      </c>
      <c r="O10" s="13">
        <v>248</v>
      </c>
      <c r="P10" s="13">
        <v>248</v>
      </c>
      <c r="Q10" s="13">
        <v>548</v>
      </c>
      <c r="R10" s="13">
        <v>609.74</v>
      </c>
      <c r="S10" s="13">
        <v>547.6</v>
      </c>
      <c r="T10" s="13">
        <v>447.71</v>
      </c>
      <c r="U10" s="13">
        <v>248</v>
      </c>
      <c r="V10" s="13">
        <v>548</v>
      </c>
      <c r="W10" s="13">
        <v>248</v>
      </c>
      <c r="X10" s="13">
        <v>441.61</v>
      </c>
      <c r="Y10" s="13">
        <v>250.67</v>
      </c>
      <c r="Z10" s="13">
        <v>248</v>
      </c>
    </row>
    <row r="11" spans="1:26" x14ac:dyDescent="0.35">
      <c r="A11" s="6" t="s">
        <v>26</v>
      </c>
      <c r="B11" s="10" t="s">
        <v>27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347.85</v>
      </c>
      <c r="M11" s="13">
        <v>379.12</v>
      </c>
      <c r="N11" s="13">
        <v>679.12</v>
      </c>
      <c r="O11" s="13">
        <v>379.12</v>
      </c>
      <c r="P11" s="13">
        <v>602.80999999999995</v>
      </c>
      <c r="Q11" s="13">
        <v>454.43</v>
      </c>
      <c r="R11" s="13">
        <v>347.85</v>
      </c>
      <c r="S11" s="13">
        <v>347.85</v>
      </c>
      <c r="T11" s="13">
        <v>347.85</v>
      </c>
      <c r="U11" s="13">
        <v>599.27</v>
      </c>
      <c r="V11" s="13">
        <v>479.4</v>
      </c>
      <c r="W11" s="13">
        <v>727.68</v>
      </c>
      <c r="X11" s="13">
        <v>427.68</v>
      </c>
      <c r="Y11" s="13">
        <v>347.85</v>
      </c>
      <c r="Z11" s="13">
        <v>0</v>
      </c>
    </row>
    <row r="12" spans="1:26" x14ac:dyDescent="0.35">
      <c r="A12" s="6" t="s">
        <v>28</v>
      </c>
      <c r="B12" s="10" t="s">
        <v>29</v>
      </c>
      <c r="C12" s="13">
        <v>660</v>
      </c>
      <c r="D12" s="13">
        <v>780</v>
      </c>
      <c r="E12" s="13">
        <v>660</v>
      </c>
      <c r="F12" s="13">
        <v>667.86</v>
      </c>
      <c r="G12" s="13">
        <v>787.86</v>
      </c>
      <c r="H12" s="13">
        <v>870</v>
      </c>
      <c r="I12" s="13">
        <v>870</v>
      </c>
      <c r="J12" s="13">
        <v>870</v>
      </c>
      <c r="K12" s="13">
        <v>870</v>
      </c>
      <c r="L12" s="13">
        <v>870</v>
      </c>
      <c r="M12" s="13">
        <v>870</v>
      </c>
      <c r="N12" s="13">
        <v>870</v>
      </c>
      <c r="O12" s="13">
        <v>870</v>
      </c>
      <c r="P12" s="13">
        <v>870</v>
      </c>
      <c r="Q12" s="13">
        <v>870</v>
      </c>
      <c r="R12" s="13">
        <v>870</v>
      </c>
      <c r="S12" s="13">
        <v>870</v>
      </c>
      <c r="T12" s="13">
        <v>870</v>
      </c>
      <c r="U12" s="13">
        <v>870</v>
      </c>
      <c r="V12" s="13">
        <v>870</v>
      </c>
      <c r="W12" s="13">
        <v>870</v>
      </c>
      <c r="X12" s="13">
        <v>870</v>
      </c>
      <c r="Y12" s="13">
        <v>870</v>
      </c>
      <c r="Z12" s="13">
        <v>870</v>
      </c>
    </row>
    <row r="13" spans="1:26" x14ac:dyDescent="0.35">
      <c r="A13" s="6" t="s">
        <v>30</v>
      </c>
      <c r="B13" s="10" t="s">
        <v>31</v>
      </c>
      <c r="C13" s="13">
        <v>720</v>
      </c>
      <c r="D13" s="13">
        <v>840</v>
      </c>
      <c r="E13" s="13">
        <v>840</v>
      </c>
      <c r="F13" s="13">
        <v>840</v>
      </c>
      <c r="G13" s="13">
        <v>840</v>
      </c>
      <c r="H13" s="13">
        <v>840</v>
      </c>
      <c r="I13" s="13">
        <v>840</v>
      </c>
      <c r="J13" s="13">
        <v>840</v>
      </c>
      <c r="K13" s="13">
        <v>840</v>
      </c>
      <c r="L13" s="13">
        <v>840</v>
      </c>
      <c r="M13" s="13">
        <v>840</v>
      </c>
      <c r="N13" s="13">
        <v>840</v>
      </c>
      <c r="O13" s="13">
        <v>840</v>
      </c>
      <c r="P13" s="13">
        <v>840</v>
      </c>
      <c r="Q13" s="13">
        <v>840</v>
      </c>
      <c r="R13" s="13">
        <v>840</v>
      </c>
      <c r="S13" s="13">
        <v>840</v>
      </c>
      <c r="T13" s="13">
        <v>840</v>
      </c>
      <c r="U13" s="13">
        <v>840</v>
      </c>
      <c r="V13" s="13">
        <v>840</v>
      </c>
      <c r="W13" s="13">
        <v>840</v>
      </c>
      <c r="X13" s="13">
        <v>840</v>
      </c>
      <c r="Y13" s="13">
        <v>840</v>
      </c>
      <c r="Z13" s="13">
        <v>840</v>
      </c>
    </row>
    <row r="14" spans="1:26" x14ac:dyDescent="0.35">
      <c r="A14" s="6" t="s">
        <v>33</v>
      </c>
      <c r="B14" s="11" t="s">
        <v>36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</row>
    <row r="15" spans="1:26" x14ac:dyDescent="0.35">
      <c r="A15" s="6" t="s">
        <v>35</v>
      </c>
      <c r="B15" s="11" t="s">
        <v>37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</row>
    <row r="16" spans="1:26" x14ac:dyDescent="0.35">
      <c r="A16" s="6" t="s">
        <v>34</v>
      </c>
      <c r="B16" s="11" t="s">
        <v>38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</row>
    <row r="20" spans="1:26" x14ac:dyDescent="0.35">
      <c r="A20" t="s">
        <v>49</v>
      </c>
    </row>
    <row r="21" spans="1:26" x14ac:dyDescent="0.35">
      <c r="A21" s="21" t="s">
        <v>11</v>
      </c>
      <c r="B21" s="21"/>
      <c r="C21" s="22" t="s">
        <v>10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x14ac:dyDescent="0.35">
      <c r="A22" s="21"/>
      <c r="B22" s="21"/>
      <c r="C22" s="12">
        <v>1</v>
      </c>
      <c r="D22" s="12">
        <v>2</v>
      </c>
      <c r="E22" s="12">
        <v>3</v>
      </c>
      <c r="F22" s="12">
        <v>4</v>
      </c>
      <c r="G22" s="12">
        <v>5</v>
      </c>
      <c r="H22" s="12">
        <v>6</v>
      </c>
      <c r="I22" s="12">
        <v>7</v>
      </c>
      <c r="J22" s="12">
        <v>8</v>
      </c>
      <c r="K22" s="12">
        <v>9</v>
      </c>
      <c r="L22" s="12">
        <v>10</v>
      </c>
      <c r="M22" s="12">
        <v>11</v>
      </c>
      <c r="N22" s="12">
        <v>12</v>
      </c>
      <c r="O22" s="12">
        <v>13</v>
      </c>
      <c r="P22" s="12">
        <v>14</v>
      </c>
      <c r="Q22" s="12">
        <v>15</v>
      </c>
      <c r="R22" s="12">
        <v>16</v>
      </c>
      <c r="S22" s="12">
        <v>17</v>
      </c>
      <c r="T22" s="12">
        <v>18</v>
      </c>
      <c r="U22" s="12">
        <v>19</v>
      </c>
      <c r="V22" s="12">
        <v>20</v>
      </c>
      <c r="W22" s="12">
        <v>21</v>
      </c>
      <c r="X22" s="12">
        <v>22</v>
      </c>
      <c r="Y22" s="12">
        <v>23</v>
      </c>
      <c r="Z22" s="12">
        <v>24</v>
      </c>
    </row>
    <row r="23" spans="1:26" x14ac:dyDescent="0.35">
      <c r="A23" s="6" t="s">
        <v>12</v>
      </c>
      <c r="B23" s="10" t="s">
        <v>13</v>
      </c>
      <c r="C23" s="13">
        <v>1176</v>
      </c>
      <c r="D23" s="13">
        <v>1176</v>
      </c>
      <c r="E23" s="13">
        <v>1176</v>
      </c>
      <c r="F23" s="13">
        <v>1176</v>
      </c>
      <c r="G23" s="13">
        <v>1176</v>
      </c>
      <c r="H23" s="13">
        <v>1176</v>
      </c>
      <c r="I23" s="13">
        <v>1176</v>
      </c>
      <c r="J23" s="13">
        <v>1155.69</v>
      </c>
      <c r="K23" s="13">
        <v>1176</v>
      </c>
      <c r="L23" s="13">
        <v>1176</v>
      </c>
      <c r="M23" s="13">
        <v>1176</v>
      </c>
      <c r="N23" s="13">
        <v>1176</v>
      </c>
      <c r="O23" s="13">
        <v>1176</v>
      </c>
      <c r="P23" s="13">
        <v>1176</v>
      </c>
      <c r="Q23" s="13">
        <v>1176</v>
      </c>
      <c r="R23" s="13">
        <v>1176</v>
      </c>
      <c r="S23" s="13">
        <v>1176</v>
      </c>
      <c r="T23" s="13">
        <v>1176</v>
      </c>
      <c r="U23" s="13">
        <v>1176</v>
      </c>
      <c r="V23" s="13">
        <v>1176</v>
      </c>
      <c r="W23" s="13">
        <v>1176</v>
      </c>
      <c r="X23" s="13">
        <v>1176</v>
      </c>
      <c r="Y23" s="13">
        <v>1176</v>
      </c>
      <c r="Z23" s="13">
        <v>1176</v>
      </c>
    </row>
    <row r="24" spans="1:26" x14ac:dyDescent="0.35">
      <c r="A24" s="6" t="s">
        <v>14</v>
      </c>
      <c r="B24" s="10" t="s">
        <v>15</v>
      </c>
      <c r="C24" s="13">
        <v>379.18</v>
      </c>
      <c r="D24" s="13">
        <v>340</v>
      </c>
      <c r="E24" s="13">
        <v>340</v>
      </c>
      <c r="F24" s="13">
        <v>340</v>
      </c>
      <c r="G24" s="13">
        <v>340</v>
      </c>
      <c r="H24" s="13">
        <v>340</v>
      </c>
      <c r="I24" s="13">
        <v>340</v>
      </c>
      <c r="J24" s="13">
        <v>340</v>
      </c>
      <c r="K24" s="13">
        <v>422.07</v>
      </c>
      <c r="L24" s="13">
        <v>722.07</v>
      </c>
      <c r="M24" s="13">
        <v>470.98</v>
      </c>
      <c r="N24" s="13">
        <v>765.81</v>
      </c>
      <c r="O24" s="13">
        <v>465.81</v>
      </c>
      <c r="P24" s="13">
        <v>765.81</v>
      </c>
      <c r="Q24" s="13">
        <v>537.42999999999995</v>
      </c>
      <c r="R24" s="13">
        <v>340</v>
      </c>
      <c r="S24" s="13">
        <v>340</v>
      </c>
      <c r="T24" s="13">
        <v>340</v>
      </c>
      <c r="U24" s="13">
        <v>479.87</v>
      </c>
      <c r="V24" s="13">
        <v>340</v>
      </c>
      <c r="W24" s="13">
        <v>602.6</v>
      </c>
      <c r="X24" s="13">
        <v>484.3</v>
      </c>
      <c r="Y24" s="13">
        <v>536.96</v>
      </c>
      <c r="Z24" s="13">
        <v>340</v>
      </c>
    </row>
    <row r="25" spans="1:26" x14ac:dyDescent="0.35">
      <c r="A25" s="6" t="s">
        <v>16</v>
      </c>
      <c r="B25" s="10" t="s">
        <v>17</v>
      </c>
      <c r="C25" s="13">
        <v>720</v>
      </c>
      <c r="D25" s="13">
        <v>840</v>
      </c>
      <c r="E25" s="13">
        <v>876.03</v>
      </c>
      <c r="F25" s="13">
        <v>969</v>
      </c>
      <c r="G25" s="13">
        <v>863.38</v>
      </c>
      <c r="H25" s="13">
        <v>969</v>
      </c>
      <c r="I25" s="13">
        <v>969</v>
      </c>
      <c r="J25" s="13">
        <v>969</v>
      </c>
      <c r="K25" s="13">
        <v>969</v>
      </c>
      <c r="L25" s="13">
        <v>969</v>
      </c>
      <c r="M25" s="13">
        <v>969</v>
      </c>
      <c r="N25" s="13">
        <v>969</v>
      </c>
      <c r="O25" s="13">
        <v>969</v>
      </c>
      <c r="P25" s="13">
        <v>969</v>
      </c>
      <c r="Q25" s="13">
        <v>969</v>
      </c>
      <c r="R25" s="13">
        <v>969</v>
      </c>
      <c r="S25" s="13">
        <v>969</v>
      </c>
      <c r="T25" s="13">
        <v>969</v>
      </c>
      <c r="U25" s="13">
        <v>969</v>
      </c>
      <c r="V25" s="13">
        <v>969</v>
      </c>
      <c r="W25" s="13">
        <v>969</v>
      </c>
      <c r="X25" s="13">
        <v>969</v>
      </c>
      <c r="Y25" s="13">
        <v>969</v>
      </c>
      <c r="Z25" s="13">
        <v>969</v>
      </c>
    </row>
    <row r="26" spans="1:26" x14ac:dyDescent="0.35">
      <c r="A26" s="6" t="s">
        <v>18</v>
      </c>
      <c r="B26" s="10" t="s">
        <v>19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85</v>
      </c>
      <c r="N26" s="13">
        <v>85</v>
      </c>
      <c r="O26" s="13">
        <v>85</v>
      </c>
      <c r="P26" s="13">
        <v>85</v>
      </c>
      <c r="Q26" s="13">
        <v>85</v>
      </c>
      <c r="R26" s="13">
        <v>85</v>
      </c>
      <c r="S26" s="13">
        <v>85</v>
      </c>
      <c r="T26" s="13">
        <v>85</v>
      </c>
      <c r="U26" s="13">
        <v>85</v>
      </c>
      <c r="V26" s="13">
        <v>85</v>
      </c>
      <c r="W26" s="13">
        <v>85</v>
      </c>
      <c r="X26" s="13">
        <v>85</v>
      </c>
      <c r="Y26" s="13">
        <v>0</v>
      </c>
      <c r="Z26" s="13">
        <v>0</v>
      </c>
    </row>
    <row r="27" spans="1:26" x14ac:dyDescent="0.35">
      <c r="A27" s="6" t="s">
        <v>20</v>
      </c>
      <c r="B27" s="10" t="s">
        <v>21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66</v>
      </c>
      <c r="V27" s="13">
        <v>66</v>
      </c>
      <c r="W27" s="13">
        <v>0</v>
      </c>
      <c r="X27" s="13">
        <v>0</v>
      </c>
      <c r="Y27" s="13">
        <v>0</v>
      </c>
      <c r="Z27" s="13">
        <v>0</v>
      </c>
    </row>
    <row r="28" spans="1:26" x14ac:dyDescent="0.35">
      <c r="A28" s="6" t="s">
        <v>22</v>
      </c>
      <c r="B28" s="10" t="s">
        <v>23</v>
      </c>
      <c r="C28" s="13">
        <v>550</v>
      </c>
      <c r="D28" s="13">
        <v>250</v>
      </c>
      <c r="E28" s="13">
        <v>250</v>
      </c>
      <c r="F28" s="13">
        <v>250</v>
      </c>
      <c r="G28" s="13">
        <v>250</v>
      </c>
      <c r="H28" s="13">
        <v>250</v>
      </c>
      <c r="I28" s="13">
        <v>250</v>
      </c>
      <c r="J28" s="13">
        <v>250</v>
      </c>
      <c r="K28" s="13">
        <v>254.38</v>
      </c>
      <c r="L28" s="13">
        <v>250</v>
      </c>
      <c r="M28" s="13">
        <v>550</v>
      </c>
      <c r="N28" s="13">
        <v>286.3</v>
      </c>
      <c r="O28" s="13">
        <v>455.77</v>
      </c>
      <c r="P28" s="13">
        <v>250</v>
      </c>
      <c r="Q28" s="13">
        <v>550</v>
      </c>
      <c r="R28" s="13">
        <v>749</v>
      </c>
      <c r="S28" s="13">
        <v>734.04</v>
      </c>
      <c r="T28" s="13">
        <v>700.56</v>
      </c>
      <c r="U28" s="13">
        <v>486.4</v>
      </c>
      <c r="V28" s="13">
        <v>786.4</v>
      </c>
      <c r="W28" s="13">
        <v>486.4</v>
      </c>
      <c r="X28" s="13">
        <v>550</v>
      </c>
      <c r="Y28" s="13">
        <v>250</v>
      </c>
      <c r="Z28" s="13">
        <v>250</v>
      </c>
    </row>
    <row r="29" spans="1:26" x14ac:dyDescent="0.35">
      <c r="A29" s="6" t="s">
        <v>24</v>
      </c>
      <c r="B29" s="10" t="s">
        <v>25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</row>
    <row r="30" spans="1:26" x14ac:dyDescent="0.35">
      <c r="A30" s="6" t="s">
        <v>26</v>
      </c>
      <c r="B30" s="10" t="s">
        <v>27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</row>
    <row r="31" spans="1:26" x14ac:dyDescent="0.35">
      <c r="A31" s="6" t="s">
        <v>28</v>
      </c>
      <c r="B31" s="10" t="s">
        <v>29</v>
      </c>
      <c r="C31" s="13">
        <v>660</v>
      </c>
      <c r="D31" s="13">
        <v>727.17</v>
      </c>
      <c r="E31" s="13">
        <v>607.16999999999996</v>
      </c>
      <c r="F31" s="13">
        <v>540</v>
      </c>
      <c r="G31" s="13">
        <v>540</v>
      </c>
      <c r="H31" s="13">
        <v>636.52</v>
      </c>
      <c r="I31" s="13">
        <v>756.52</v>
      </c>
      <c r="J31" s="13">
        <v>870</v>
      </c>
      <c r="K31" s="13">
        <v>870</v>
      </c>
      <c r="L31" s="13">
        <v>870</v>
      </c>
      <c r="M31" s="13">
        <v>870</v>
      </c>
      <c r="N31" s="13">
        <v>870</v>
      </c>
      <c r="O31" s="13">
        <v>870</v>
      </c>
      <c r="P31" s="13">
        <v>870</v>
      </c>
      <c r="Q31" s="13">
        <v>870</v>
      </c>
      <c r="R31" s="13">
        <v>870</v>
      </c>
      <c r="S31" s="13">
        <v>870</v>
      </c>
      <c r="T31" s="13">
        <v>870</v>
      </c>
      <c r="U31" s="13">
        <v>870</v>
      </c>
      <c r="V31" s="13">
        <v>870</v>
      </c>
      <c r="W31" s="13">
        <v>870</v>
      </c>
      <c r="X31" s="13">
        <v>870</v>
      </c>
      <c r="Y31" s="13">
        <v>870</v>
      </c>
      <c r="Z31" s="13">
        <v>870</v>
      </c>
    </row>
    <row r="32" spans="1:26" x14ac:dyDescent="0.35">
      <c r="A32" s="6" t="s">
        <v>30</v>
      </c>
      <c r="B32" s="10" t="s">
        <v>31</v>
      </c>
      <c r="C32" s="13">
        <v>720</v>
      </c>
      <c r="D32" s="13">
        <v>840</v>
      </c>
      <c r="E32" s="13">
        <v>840</v>
      </c>
      <c r="F32" s="13">
        <v>780.92</v>
      </c>
      <c r="G32" s="13">
        <v>840</v>
      </c>
      <c r="H32" s="13">
        <v>840</v>
      </c>
      <c r="I32" s="13">
        <v>840</v>
      </c>
      <c r="J32" s="13">
        <v>720</v>
      </c>
      <c r="K32" s="13">
        <v>840</v>
      </c>
      <c r="L32" s="13">
        <v>840</v>
      </c>
      <c r="M32" s="13">
        <v>840</v>
      </c>
      <c r="N32" s="13">
        <v>840</v>
      </c>
      <c r="O32" s="13">
        <v>840</v>
      </c>
      <c r="P32" s="13">
        <v>840</v>
      </c>
      <c r="Q32" s="13">
        <v>840</v>
      </c>
      <c r="R32" s="13">
        <v>840</v>
      </c>
      <c r="S32" s="13">
        <v>840</v>
      </c>
      <c r="T32" s="13">
        <v>840</v>
      </c>
      <c r="U32" s="13">
        <v>840</v>
      </c>
      <c r="V32" s="13">
        <v>840</v>
      </c>
      <c r="W32" s="13">
        <v>840</v>
      </c>
      <c r="X32" s="13">
        <v>840</v>
      </c>
      <c r="Y32" s="13">
        <v>840</v>
      </c>
      <c r="Z32" s="13">
        <v>840</v>
      </c>
    </row>
    <row r="33" spans="1:26" x14ac:dyDescent="0.35">
      <c r="A33" s="6" t="s">
        <v>33</v>
      </c>
      <c r="B33" s="11" t="s">
        <v>36</v>
      </c>
      <c r="C33" s="17">
        <v>5.5000000000000044</v>
      </c>
      <c r="D33" s="17">
        <v>0</v>
      </c>
      <c r="E33" s="17">
        <v>0</v>
      </c>
      <c r="F33" s="17">
        <v>-26.539388203151589</v>
      </c>
      <c r="G33" s="17">
        <v>0</v>
      </c>
      <c r="H33" s="17">
        <v>0</v>
      </c>
      <c r="I33" s="17">
        <v>-58.460611796848411</v>
      </c>
      <c r="J33" s="17">
        <v>-60</v>
      </c>
      <c r="K33" s="17">
        <v>0</v>
      </c>
      <c r="L33" s="17">
        <v>0</v>
      </c>
      <c r="M33" s="17">
        <v>0</v>
      </c>
      <c r="N33" s="17">
        <v>60</v>
      </c>
      <c r="O33" s="17">
        <v>-60</v>
      </c>
      <c r="P33" s="17">
        <v>0</v>
      </c>
      <c r="Q33" s="17">
        <v>60</v>
      </c>
      <c r="R33" s="17">
        <v>13.5891437771387</v>
      </c>
      <c r="S33" s="17">
        <v>-13.5891437771387</v>
      </c>
      <c r="T33" s="17">
        <v>-60</v>
      </c>
      <c r="U33" s="17">
        <v>0</v>
      </c>
      <c r="V33" s="17">
        <v>0</v>
      </c>
      <c r="W33" s="17">
        <v>51.684545055375111</v>
      </c>
      <c r="X33" s="17">
        <v>0</v>
      </c>
      <c r="Y33" s="17">
        <v>56.558953017513431</v>
      </c>
      <c r="Z33" s="17">
        <v>31.256501927111461</v>
      </c>
    </row>
    <row r="34" spans="1:26" x14ac:dyDescent="0.35">
      <c r="A34" s="6" t="s">
        <v>35</v>
      </c>
      <c r="B34" s="11" t="s">
        <v>37</v>
      </c>
      <c r="C34" s="17">
        <v>15</v>
      </c>
      <c r="D34" s="17">
        <v>0</v>
      </c>
      <c r="E34" s="17">
        <v>0</v>
      </c>
      <c r="F34" s="17">
        <v>-20</v>
      </c>
      <c r="G34" s="17">
        <v>0</v>
      </c>
      <c r="H34" s="17">
        <v>0</v>
      </c>
      <c r="I34" s="17">
        <v>0</v>
      </c>
      <c r="J34" s="17">
        <v>-20</v>
      </c>
      <c r="K34" s="17">
        <v>0</v>
      </c>
      <c r="L34" s="17">
        <v>20</v>
      </c>
      <c r="M34" s="17">
        <v>20</v>
      </c>
      <c r="N34" s="17">
        <v>-20</v>
      </c>
      <c r="O34" s="17">
        <v>-20</v>
      </c>
      <c r="P34" s="17">
        <v>0</v>
      </c>
      <c r="Q34" s="17">
        <v>20</v>
      </c>
      <c r="R34" s="17">
        <v>20</v>
      </c>
      <c r="S34" s="17">
        <v>0</v>
      </c>
      <c r="T34" s="17">
        <v>-20</v>
      </c>
      <c r="U34" s="17">
        <v>-20</v>
      </c>
      <c r="V34" s="17">
        <v>0</v>
      </c>
      <c r="W34" s="17">
        <v>0</v>
      </c>
      <c r="X34" s="17">
        <v>0</v>
      </c>
      <c r="Y34" s="17">
        <v>5</v>
      </c>
      <c r="Z34" s="17">
        <v>20</v>
      </c>
    </row>
    <row r="35" spans="1:26" x14ac:dyDescent="0.35">
      <c r="A35" s="6" t="s">
        <v>34</v>
      </c>
      <c r="B35" s="11" t="s">
        <v>38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</row>
    <row r="39" spans="1:26" x14ac:dyDescent="0.35">
      <c r="A39" t="s">
        <v>51</v>
      </c>
    </row>
    <row r="40" spans="1:26" x14ac:dyDescent="0.35">
      <c r="A40" s="21" t="s">
        <v>11</v>
      </c>
      <c r="B40" s="21"/>
      <c r="C40" s="22" t="s">
        <v>10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x14ac:dyDescent="0.35">
      <c r="A41" s="21"/>
      <c r="B41" s="21"/>
      <c r="C41" s="12">
        <v>1</v>
      </c>
      <c r="D41" s="12">
        <v>2</v>
      </c>
      <c r="E41" s="12">
        <v>3</v>
      </c>
      <c r="F41" s="12">
        <v>4</v>
      </c>
      <c r="G41" s="12">
        <v>5</v>
      </c>
      <c r="H41" s="12">
        <v>6</v>
      </c>
      <c r="I41" s="12">
        <v>7</v>
      </c>
      <c r="J41" s="12">
        <v>8</v>
      </c>
      <c r="K41" s="12">
        <v>9</v>
      </c>
      <c r="L41" s="12">
        <v>10</v>
      </c>
      <c r="M41" s="12">
        <v>11</v>
      </c>
      <c r="N41" s="12">
        <v>12</v>
      </c>
      <c r="O41" s="12">
        <v>13</v>
      </c>
      <c r="P41" s="12">
        <v>14</v>
      </c>
      <c r="Q41" s="12">
        <v>15</v>
      </c>
      <c r="R41" s="12">
        <v>16</v>
      </c>
      <c r="S41" s="12">
        <v>17</v>
      </c>
      <c r="T41" s="12">
        <v>18</v>
      </c>
      <c r="U41" s="12">
        <v>19</v>
      </c>
      <c r="V41" s="12">
        <v>20</v>
      </c>
      <c r="W41" s="12">
        <v>21</v>
      </c>
      <c r="X41" s="12">
        <v>22</v>
      </c>
      <c r="Y41" s="12">
        <v>23</v>
      </c>
      <c r="Z41" s="12">
        <v>24</v>
      </c>
    </row>
    <row r="42" spans="1:26" x14ac:dyDescent="0.35">
      <c r="A42" s="6" t="s">
        <v>12</v>
      </c>
      <c r="B42" s="10" t="s">
        <v>13</v>
      </c>
      <c r="C42" s="13">
        <v>1176</v>
      </c>
      <c r="D42" s="13">
        <v>1176</v>
      </c>
      <c r="E42" s="13">
        <v>1176</v>
      </c>
      <c r="F42" s="13">
        <v>1176</v>
      </c>
      <c r="G42" s="13">
        <v>1176</v>
      </c>
      <c r="H42" s="13">
        <v>1159.1400000000001</v>
      </c>
      <c r="I42" s="13">
        <v>1054.8900000000001</v>
      </c>
      <c r="J42" s="13">
        <v>1038.3599999999999</v>
      </c>
      <c r="K42" s="13">
        <v>1158.3599999999999</v>
      </c>
      <c r="L42" s="13">
        <v>1176</v>
      </c>
      <c r="M42" s="13">
        <v>1176</v>
      </c>
      <c r="N42" s="13">
        <v>1176</v>
      </c>
      <c r="O42" s="13">
        <v>1176</v>
      </c>
      <c r="P42" s="13">
        <v>1176</v>
      </c>
      <c r="Q42" s="13">
        <v>1176</v>
      </c>
      <c r="R42" s="13">
        <v>1176</v>
      </c>
      <c r="S42" s="13">
        <v>1176</v>
      </c>
      <c r="T42" s="13">
        <v>1176</v>
      </c>
      <c r="U42" s="13">
        <v>1176</v>
      </c>
      <c r="V42" s="13">
        <v>1176</v>
      </c>
      <c r="W42" s="13">
        <v>1176</v>
      </c>
      <c r="X42" s="13">
        <v>1176</v>
      </c>
      <c r="Y42" s="13">
        <v>1176</v>
      </c>
      <c r="Z42" s="13">
        <v>1176</v>
      </c>
    </row>
    <row r="43" spans="1:26" x14ac:dyDescent="0.35">
      <c r="A43" s="6" t="s">
        <v>14</v>
      </c>
      <c r="B43" s="10" t="s">
        <v>15</v>
      </c>
      <c r="C43" s="13">
        <v>340</v>
      </c>
      <c r="D43" s="13">
        <v>340</v>
      </c>
      <c r="E43" s="13">
        <v>340</v>
      </c>
      <c r="F43" s="13">
        <v>340</v>
      </c>
      <c r="G43" s="13">
        <v>340</v>
      </c>
      <c r="H43" s="13">
        <v>340</v>
      </c>
      <c r="I43" s="13">
        <v>340</v>
      </c>
      <c r="J43" s="13">
        <v>340</v>
      </c>
      <c r="K43" s="13">
        <v>340</v>
      </c>
      <c r="L43" s="13">
        <v>351.09</v>
      </c>
      <c r="M43" s="13">
        <v>527.32000000000005</v>
      </c>
      <c r="N43" s="13">
        <v>726.55</v>
      </c>
      <c r="O43" s="13">
        <v>638.04</v>
      </c>
      <c r="P43" s="13">
        <v>656.78</v>
      </c>
      <c r="Q43" s="13">
        <v>449.34</v>
      </c>
      <c r="R43" s="13">
        <v>640</v>
      </c>
      <c r="S43" s="13">
        <v>340</v>
      </c>
      <c r="T43" s="13">
        <v>528.27</v>
      </c>
      <c r="U43" s="13">
        <v>613.57000000000005</v>
      </c>
      <c r="V43" s="13">
        <v>716.02</v>
      </c>
      <c r="W43" s="13">
        <v>660.19</v>
      </c>
      <c r="X43" s="13">
        <v>591.92999999999995</v>
      </c>
      <c r="Y43" s="13">
        <v>379.05</v>
      </c>
      <c r="Z43" s="13">
        <v>340</v>
      </c>
    </row>
    <row r="44" spans="1:26" x14ac:dyDescent="0.35">
      <c r="A44" s="6" t="s">
        <v>16</v>
      </c>
      <c r="B44" s="10" t="s">
        <v>17</v>
      </c>
      <c r="C44" s="13">
        <v>659.18</v>
      </c>
      <c r="D44" s="13">
        <v>600</v>
      </c>
      <c r="E44" s="13">
        <v>715.77</v>
      </c>
      <c r="F44" s="13">
        <v>703.18</v>
      </c>
      <c r="G44" s="13">
        <v>600</v>
      </c>
      <c r="H44" s="13">
        <v>600</v>
      </c>
      <c r="I44" s="13">
        <v>609</v>
      </c>
      <c r="J44" s="13">
        <v>729</v>
      </c>
      <c r="K44" s="13">
        <v>849</v>
      </c>
      <c r="L44" s="13">
        <v>969</v>
      </c>
      <c r="M44" s="13">
        <v>969</v>
      </c>
      <c r="N44" s="13">
        <v>969</v>
      </c>
      <c r="O44" s="13">
        <v>969</v>
      </c>
      <c r="P44" s="13">
        <v>969</v>
      </c>
      <c r="Q44" s="13">
        <v>969</v>
      </c>
      <c r="R44" s="13">
        <v>969</v>
      </c>
      <c r="S44" s="13">
        <v>969</v>
      </c>
      <c r="T44" s="13">
        <v>969</v>
      </c>
      <c r="U44" s="13">
        <v>969</v>
      </c>
      <c r="V44" s="13">
        <v>969</v>
      </c>
      <c r="W44" s="13">
        <v>969</v>
      </c>
      <c r="X44" s="13">
        <v>969</v>
      </c>
      <c r="Y44" s="13">
        <v>969</v>
      </c>
      <c r="Z44" s="13">
        <v>969</v>
      </c>
    </row>
    <row r="45" spans="1:26" x14ac:dyDescent="0.35">
      <c r="A45" s="6" t="s">
        <v>18</v>
      </c>
      <c r="B45" s="10" t="s">
        <v>19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</row>
    <row r="46" spans="1:26" x14ac:dyDescent="0.35">
      <c r="A46" s="6" t="s">
        <v>20</v>
      </c>
      <c r="B46" s="10" t="s">
        <v>21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66</v>
      </c>
      <c r="R46" s="13">
        <v>66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</row>
    <row r="47" spans="1:26" x14ac:dyDescent="0.35">
      <c r="A47" s="6" t="s">
        <v>22</v>
      </c>
      <c r="B47" s="10" t="s">
        <v>23</v>
      </c>
      <c r="C47" s="13">
        <v>250</v>
      </c>
      <c r="D47" s="13">
        <v>250</v>
      </c>
      <c r="E47" s="13">
        <v>250</v>
      </c>
      <c r="F47" s="13">
        <v>250</v>
      </c>
      <c r="G47" s="13">
        <v>250</v>
      </c>
      <c r="H47" s="13">
        <v>250</v>
      </c>
      <c r="I47" s="13">
        <v>250</v>
      </c>
      <c r="J47" s="13">
        <v>250</v>
      </c>
      <c r="K47" s="13">
        <v>250</v>
      </c>
      <c r="L47" s="13">
        <v>250</v>
      </c>
      <c r="M47" s="13">
        <v>250</v>
      </c>
      <c r="N47" s="13">
        <v>250</v>
      </c>
      <c r="O47" s="13">
        <v>250</v>
      </c>
      <c r="P47" s="13">
        <v>250</v>
      </c>
      <c r="Q47" s="13">
        <v>550</v>
      </c>
      <c r="R47" s="13">
        <v>380.27</v>
      </c>
      <c r="S47" s="13">
        <v>680.05</v>
      </c>
      <c r="T47" s="13">
        <v>380.05</v>
      </c>
      <c r="U47" s="13">
        <v>250</v>
      </c>
      <c r="V47" s="13">
        <v>250</v>
      </c>
      <c r="W47" s="13">
        <v>250</v>
      </c>
      <c r="X47" s="13">
        <v>250</v>
      </c>
      <c r="Y47" s="13">
        <v>250</v>
      </c>
      <c r="Z47" s="13">
        <v>250</v>
      </c>
    </row>
    <row r="48" spans="1:26" x14ac:dyDescent="0.35">
      <c r="A48" s="6" t="s">
        <v>24</v>
      </c>
      <c r="B48" s="10" t="s">
        <v>25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</row>
    <row r="49" spans="1:26" x14ac:dyDescent="0.35">
      <c r="A49" s="6" t="s">
        <v>26</v>
      </c>
      <c r="B49" s="10" t="s">
        <v>27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</row>
    <row r="50" spans="1:26" x14ac:dyDescent="0.35">
      <c r="A50" s="6" t="s">
        <v>28</v>
      </c>
      <c r="B50" s="10" t="s">
        <v>29</v>
      </c>
      <c r="C50" s="13">
        <v>660</v>
      </c>
      <c r="D50" s="13">
        <v>628.66</v>
      </c>
      <c r="E50" s="13">
        <v>540</v>
      </c>
      <c r="F50" s="13">
        <v>631.63</v>
      </c>
      <c r="G50" s="13">
        <v>751.63</v>
      </c>
      <c r="H50" s="13">
        <v>870</v>
      </c>
      <c r="I50" s="13">
        <v>870</v>
      </c>
      <c r="J50" s="13">
        <v>870</v>
      </c>
      <c r="K50" s="13">
        <v>785.5</v>
      </c>
      <c r="L50" s="13">
        <v>870</v>
      </c>
      <c r="M50" s="13">
        <v>870</v>
      </c>
      <c r="N50" s="13">
        <v>870</v>
      </c>
      <c r="O50" s="13">
        <v>870</v>
      </c>
      <c r="P50" s="13">
        <v>870</v>
      </c>
      <c r="Q50" s="13">
        <v>870</v>
      </c>
      <c r="R50" s="13">
        <v>870</v>
      </c>
      <c r="S50" s="13">
        <v>870</v>
      </c>
      <c r="T50" s="13">
        <v>870</v>
      </c>
      <c r="U50" s="13">
        <v>870</v>
      </c>
      <c r="V50" s="13">
        <v>870</v>
      </c>
      <c r="W50" s="13">
        <v>870</v>
      </c>
      <c r="X50" s="13">
        <v>870</v>
      </c>
      <c r="Y50" s="13">
        <v>870</v>
      </c>
      <c r="Z50" s="13">
        <v>870</v>
      </c>
    </row>
    <row r="51" spans="1:26" x14ac:dyDescent="0.35">
      <c r="A51" s="6" t="s">
        <v>30</v>
      </c>
      <c r="B51" s="10" t="s">
        <v>31</v>
      </c>
      <c r="C51" s="13">
        <v>720</v>
      </c>
      <c r="D51" s="13">
        <v>840</v>
      </c>
      <c r="E51" s="13">
        <v>720</v>
      </c>
      <c r="F51" s="13">
        <v>600</v>
      </c>
      <c r="G51" s="13">
        <v>600</v>
      </c>
      <c r="H51" s="13">
        <v>720</v>
      </c>
      <c r="I51" s="13">
        <v>840</v>
      </c>
      <c r="J51" s="13">
        <v>840</v>
      </c>
      <c r="K51" s="13">
        <v>840</v>
      </c>
      <c r="L51" s="13">
        <v>840</v>
      </c>
      <c r="M51" s="13">
        <v>840</v>
      </c>
      <c r="N51" s="13">
        <v>840</v>
      </c>
      <c r="O51" s="13">
        <v>840</v>
      </c>
      <c r="P51" s="13">
        <v>840</v>
      </c>
      <c r="Q51" s="13">
        <v>840</v>
      </c>
      <c r="R51" s="13">
        <v>840</v>
      </c>
      <c r="S51" s="13">
        <v>840</v>
      </c>
      <c r="T51" s="13">
        <v>840</v>
      </c>
      <c r="U51" s="13">
        <v>840</v>
      </c>
      <c r="V51" s="13">
        <v>840</v>
      </c>
      <c r="W51" s="13">
        <v>840</v>
      </c>
      <c r="X51" s="13">
        <v>840</v>
      </c>
      <c r="Y51" s="13">
        <v>840</v>
      </c>
      <c r="Z51" s="13">
        <v>771.45</v>
      </c>
    </row>
    <row r="52" spans="1:26" x14ac:dyDescent="0.35">
      <c r="A52" s="6" t="s">
        <v>33</v>
      </c>
      <c r="B52" s="11" t="s">
        <v>36</v>
      </c>
      <c r="C52" s="17">
        <v>5.5000000000000044</v>
      </c>
      <c r="D52" s="17">
        <v>0</v>
      </c>
      <c r="E52" s="17">
        <v>0</v>
      </c>
      <c r="F52" s="17">
        <v>-25</v>
      </c>
      <c r="G52" s="17">
        <v>-60</v>
      </c>
      <c r="H52" s="17">
        <v>0</v>
      </c>
      <c r="I52" s="17">
        <v>0</v>
      </c>
      <c r="J52" s="17">
        <v>-60</v>
      </c>
      <c r="K52" s="17">
        <v>0</v>
      </c>
      <c r="L52" s="17">
        <v>0</v>
      </c>
      <c r="M52" s="17">
        <v>60</v>
      </c>
      <c r="N52" s="17">
        <v>0</v>
      </c>
      <c r="O52" s="17">
        <v>-60</v>
      </c>
      <c r="P52" s="17">
        <v>60</v>
      </c>
      <c r="Q52" s="17">
        <v>60</v>
      </c>
      <c r="R52" s="17">
        <v>0</v>
      </c>
      <c r="S52" s="17">
        <v>-60</v>
      </c>
      <c r="T52" s="17">
        <v>-60</v>
      </c>
      <c r="U52" s="17">
        <v>0</v>
      </c>
      <c r="V52" s="17">
        <v>25</v>
      </c>
      <c r="W52" s="17">
        <v>60</v>
      </c>
      <c r="X52" s="17">
        <v>60</v>
      </c>
      <c r="Y52" s="17">
        <v>0</v>
      </c>
      <c r="Z52" s="17">
        <v>-5.5000000000000142</v>
      </c>
    </row>
    <row r="53" spans="1:26" x14ac:dyDescent="0.35">
      <c r="A53" s="6" t="s">
        <v>35</v>
      </c>
      <c r="B53" s="11" t="s">
        <v>37</v>
      </c>
      <c r="C53" s="17">
        <v>15.000000000000011</v>
      </c>
      <c r="D53" s="17">
        <v>0</v>
      </c>
      <c r="E53" s="17">
        <v>0</v>
      </c>
      <c r="F53" s="17">
        <v>0</v>
      </c>
      <c r="G53" s="17">
        <v>-20</v>
      </c>
      <c r="H53" s="17">
        <v>0</v>
      </c>
      <c r="I53" s="17">
        <v>0</v>
      </c>
      <c r="J53" s="17">
        <v>-20</v>
      </c>
      <c r="K53" s="17">
        <v>0</v>
      </c>
      <c r="L53" s="17">
        <v>0</v>
      </c>
      <c r="M53" s="17">
        <v>0</v>
      </c>
      <c r="N53" s="17">
        <v>20</v>
      </c>
      <c r="O53" s="17">
        <v>-20</v>
      </c>
      <c r="P53" s="17">
        <v>0</v>
      </c>
      <c r="Q53" s="17">
        <v>0</v>
      </c>
      <c r="R53" s="17">
        <v>20</v>
      </c>
      <c r="S53" s="17">
        <v>0</v>
      </c>
      <c r="T53" s="17">
        <v>-20</v>
      </c>
      <c r="U53" s="17">
        <v>0</v>
      </c>
      <c r="V53" s="17">
        <v>20</v>
      </c>
      <c r="W53" s="17">
        <v>0</v>
      </c>
      <c r="X53" s="17">
        <v>20</v>
      </c>
      <c r="Y53" s="17">
        <v>0</v>
      </c>
      <c r="Z53" s="17">
        <v>-15.000000000000011</v>
      </c>
    </row>
    <row r="54" spans="1:26" x14ac:dyDescent="0.35">
      <c r="A54" s="6" t="s">
        <v>34</v>
      </c>
      <c r="B54" s="11" t="s">
        <v>38</v>
      </c>
      <c r="C54" s="13">
        <v>400</v>
      </c>
      <c r="D54" s="13">
        <v>338.51</v>
      </c>
      <c r="E54" s="13">
        <v>347.43</v>
      </c>
      <c r="F54" s="13">
        <v>333.57</v>
      </c>
      <c r="G54" s="13">
        <v>371.75</v>
      </c>
      <c r="H54" s="13">
        <v>272.38</v>
      </c>
      <c r="I54" s="13">
        <v>309.17</v>
      </c>
      <c r="J54" s="13">
        <v>237.33</v>
      </c>
      <c r="K54" s="13">
        <v>308.58999999999997</v>
      </c>
      <c r="L54" s="13">
        <v>390.99</v>
      </c>
      <c r="M54" s="13">
        <v>288.67</v>
      </c>
      <c r="N54" s="13">
        <v>180.56</v>
      </c>
      <c r="O54" s="13">
        <v>118.54</v>
      </c>
      <c r="P54" s="13">
        <v>134.03</v>
      </c>
      <c r="Q54" s="13">
        <v>127.09</v>
      </c>
      <c r="R54" s="13">
        <v>101.32</v>
      </c>
      <c r="S54" s="13">
        <v>185.4</v>
      </c>
      <c r="T54" s="13">
        <v>217.23</v>
      </c>
      <c r="U54" s="13">
        <v>233.7</v>
      </c>
      <c r="V54" s="13">
        <v>266.38</v>
      </c>
      <c r="W54" s="13">
        <v>255.5</v>
      </c>
      <c r="X54" s="13">
        <v>197.37</v>
      </c>
      <c r="Y54" s="13">
        <v>219.46</v>
      </c>
      <c r="Z54" s="13">
        <v>140.31</v>
      </c>
    </row>
    <row r="58" spans="1:26" x14ac:dyDescent="0.35">
      <c r="A58" t="s">
        <v>53</v>
      </c>
    </row>
    <row r="59" spans="1:26" x14ac:dyDescent="0.35">
      <c r="A59" s="21" t="s">
        <v>11</v>
      </c>
      <c r="B59" s="21"/>
      <c r="C59" s="22" t="s">
        <v>10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x14ac:dyDescent="0.35">
      <c r="A60" s="21"/>
      <c r="B60" s="21"/>
      <c r="C60" s="12">
        <v>1</v>
      </c>
      <c r="D60" s="12">
        <v>2</v>
      </c>
      <c r="E60" s="12">
        <v>3</v>
      </c>
      <c r="F60" s="12">
        <v>4</v>
      </c>
      <c r="G60" s="12">
        <v>5</v>
      </c>
      <c r="H60" s="12">
        <v>6</v>
      </c>
      <c r="I60" s="12">
        <v>7</v>
      </c>
      <c r="J60" s="12">
        <v>8</v>
      </c>
      <c r="K60" s="12">
        <v>9</v>
      </c>
      <c r="L60" s="12">
        <v>10</v>
      </c>
      <c r="M60" s="12">
        <v>11</v>
      </c>
      <c r="N60" s="12">
        <v>12</v>
      </c>
      <c r="O60" s="12">
        <v>13</v>
      </c>
      <c r="P60" s="12">
        <v>14</v>
      </c>
      <c r="Q60" s="12">
        <v>15</v>
      </c>
      <c r="R60" s="12">
        <v>16</v>
      </c>
      <c r="S60" s="12">
        <v>17</v>
      </c>
      <c r="T60" s="12">
        <v>18</v>
      </c>
      <c r="U60" s="12">
        <v>19</v>
      </c>
      <c r="V60" s="12">
        <v>20</v>
      </c>
      <c r="W60" s="12">
        <v>21</v>
      </c>
      <c r="X60" s="12">
        <v>22</v>
      </c>
      <c r="Y60" s="12">
        <v>23</v>
      </c>
      <c r="Z60" s="12">
        <v>24</v>
      </c>
    </row>
    <row r="61" spans="1:26" x14ac:dyDescent="0.35">
      <c r="A61" s="6" t="s">
        <v>12</v>
      </c>
      <c r="B61" s="10" t="s">
        <v>13</v>
      </c>
      <c r="C61" s="13">
        <v>1056</v>
      </c>
      <c r="D61" s="13">
        <v>939.18</v>
      </c>
      <c r="E61" s="13">
        <v>819.18</v>
      </c>
      <c r="F61" s="13">
        <v>699.18</v>
      </c>
      <c r="G61" s="13">
        <v>819.18</v>
      </c>
      <c r="H61" s="13">
        <v>724.34</v>
      </c>
      <c r="I61" s="13">
        <v>785.88</v>
      </c>
      <c r="J61" s="13">
        <v>819.18</v>
      </c>
      <c r="K61" s="13">
        <v>939.18</v>
      </c>
      <c r="L61" s="13">
        <v>939.18</v>
      </c>
      <c r="M61" s="13">
        <v>939.18</v>
      </c>
      <c r="N61" s="13">
        <v>939.18</v>
      </c>
      <c r="O61" s="13">
        <v>939.18</v>
      </c>
      <c r="P61" s="13">
        <v>939.18</v>
      </c>
      <c r="Q61" s="13">
        <v>939.18</v>
      </c>
      <c r="R61" s="13">
        <v>939.18</v>
      </c>
      <c r="S61" s="13">
        <v>939.18</v>
      </c>
      <c r="T61" s="13">
        <v>939.18</v>
      </c>
      <c r="U61" s="13">
        <v>939.18</v>
      </c>
      <c r="V61" s="13">
        <v>939.18</v>
      </c>
      <c r="W61" s="13">
        <v>939.18</v>
      </c>
      <c r="X61" s="13">
        <v>939.18</v>
      </c>
      <c r="Y61" s="13">
        <v>939.18</v>
      </c>
      <c r="Z61" s="13">
        <v>939.18</v>
      </c>
    </row>
    <row r="62" spans="1:26" x14ac:dyDescent="0.35">
      <c r="A62" s="6" t="s">
        <v>14</v>
      </c>
      <c r="B62" s="10" t="s">
        <v>15</v>
      </c>
      <c r="C62" s="13">
        <v>340</v>
      </c>
      <c r="D62" s="13">
        <v>340</v>
      </c>
      <c r="E62" s="13">
        <v>340</v>
      </c>
      <c r="F62" s="13">
        <v>340</v>
      </c>
      <c r="G62" s="13">
        <v>340</v>
      </c>
      <c r="H62" s="13">
        <v>340</v>
      </c>
      <c r="I62" s="13">
        <v>340</v>
      </c>
      <c r="J62" s="13">
        <v>340</v>
      </c>
      <c r="K62" s="13">
        <v>445.09</v>
      </c>
      <c r="L62" s="13">
        <v>340</v>
      </c>
      <c r="M62" s="13">
        <v>340</v>
      </c>
      <c r="N62" s="13">
        <v>395.22</v>
      </c>
      <c r="O62" s="13">
        <v>695.22</v>
      </c>
      <c r="P62" s="13">
        <v>395.22</v>
      </c>
      <c r="Q62" s="13">
        <v>340</v>
      </c>
      <c r="R62" s="13">
        <v>340</v>
      </c>
      <c r="S62" s="13">
        <v>340</v>
      </c>
      <c r="T62" s="13">
        <v>340</v>
      </c>
      <c r="U62" s="13">
        <v>340</v>
      </c>
      <c r="V62" s="13">
        <v>340</v>
      </c>
      <c r="W62" s="13">
        <v>340</v>
      </c>
      <c r="X62" s="13">
        <v>340</v>
      </c>
      <c r="Y62" s="13">
        <v>340</v>
      </c>
      <c r="Z62" s="13">
        <v>409.9</v>
      </c>
    </row>
    <row r="63" spans="1:26" x14ac:dyDescent="0.35">
      <c r="A63" s="6" t="s">
        <v>16</v>
      </c>
      <c r="B63" s="10" t="s">
        <v>17</v>
      </c>
      <c r="C63" s="13">
        <v>720</v>
      </c>
      <c r="D63" s="13">
        <v>840</v>
      </c>
      <c r="E63" s="13">
        <v>819.18</v>
      </c>
      <c r="F63" s="13">
        <v>939.18</v>
      </c>
      <c r="G63" s="13">
        <v>819.18</v>
      </c>
      <c r="H63" s="13">
        <v>939.18</v>
      </c>
      <c r="I63" s="13">
        <v>939.18</v>
      </c>
      <c r="J63" s="13">
        <v>939.18</v>
      </c>
      <c r="K63" s="13">
        <v>939.18</v>
      </c>
      <c r="L63" s="13">
        <v>939.18</v>
      </c>
      <c r="M63" s="13">
        <v>939.18</v>
      </c>
      <c r="N63" s="13">
        <v>939.18</v>
      </c>
      <c r="O63" s="13">
        <v>939.18</v>
      </c>
      <c r="P63" s="13">
        <v>939.18</v>
      </c>
      <c r="Q63" s="13">
        <v>939.18</v>
      </c>
      <c r="R63" s="13">
        <v>939.18</v>
      </c>
      <c r="S63" s="13">
        <v>939.18</v>
      </c>
      <c r="T63" s="13">
        <v>939.18</v>
      </c>
      <c r="U63" s="13">
        <v>939.18</v>
      </c>
      <c r="V63" s="13">
        <v>939.18</v>
      </c>
      <c r="W63" s="13">
        <v>939.18</v>
      </c>
      <c r="X63" s="13">
        <v>939.18</v>
      </c>
      <c r="Y63" s="13">
        <v>939.18</v>
      </c>
      <c r="Z63" s="13">
        <v>939.18</v>
      </c>
    </row>
    <row r="64" spans="1:26" x14ac:dyDescent="0.35">
      <c r="A64" s="6" t="s">
        <v>18</v>
      </c>
      <c r="B64" s="10" t="s">
        <v>19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</row>
    <row r="65" spans="1:26" x14ac:dyDescent="0.35">
      <c r="A65" s="6" t="s">
        <v>20</v>
      </c>
      <c r="B65" s="10" t="s">
        <v>21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</row>
    <row r="66" spans="1:26" x14ac:dyDescent="0.35">
      <c r="A66" s="6" t="s">
        <v>22</v>
      </c>
      <c r="B66" s="10" t="s">
        <v>23</v>
      </c>
      <c r="C66" s="13">
        <v>250</v>
      </c>
      <c r="D66" s="13">
        <v>250</v>
      </c>
      <c r="E66" s="13">
        <v>250</v>
      </c>
      <c r="F66" s="13">
        <v>250</v>
      </c>
      <c r="G66" s="13">
        <v>250</v>
      </c>
      <c r="H66" s="13">
        <v>250</v>
      </c>
      <c r="I66" s="13">
        <v>250</v>
      </c>
      <c r="J66" s="13">
        <v>250</v>
      </c>
      <c r="K66" s="13">
        <v>250</v>
      </c>
      <c r="L66" s="13">
        <v>370.71</v>
      </c>
      <c r="M66" s="13">
        <v>250</v>
      </c>
      <c r="N66" s="13">
        <v>500.53</v>
      </c>
      <c r="O66" s="13">
        <v>250</v>
      </c>
      <c r="P66" s="13">
        <v>424.23</v>
      </c>
      <c r="Q66" s="13">
        <v>369.07</v>
      </c>
      <c r="R66" s="13">
        <v>324.23</v>
      </c>
      <c r="S66" s="13">
        <v>524.09</v>
      </c>
      <c r="T66" s="13">
        <v>724.2</v>
      </c>
      <c r="U66" s="13">
        <v>475.91</v>
      </c>
      <c r="V66" s="13">
        <v>394.04</v>
      </c>
      <c r="W66" s="13">
        <v>604.32000000000005</v>
      </c>
      <c r="X66" s="13">
        <v>797.94</v>
      </c>
      <c r="Y66" s="13">
        <v>527.16</v>
      </c>
      <c r="Z66" s="13">
        <v>250</v>
      </c>
    </row>
    <row r="67" spans="1:26" x14ac:dyDescent="0.35">
      <c r="A67" s="6" t="s">
        <v>24</v>
      </c>
      <c r="B67" s="10" t="s">
        <v>25</v>
      </c>
      <c r="C67" s="13">
        <v>248</v>
      </c>
      <c r="D67" s="13">
        <v>300.16000000000003</v>
      </c>
      <c r="E67" s="13">
        <v>248</v>
      </c>
      <c r="F67" s="13">
        <v>248</v>
      </c>
      <c r="G67" s="13">
        <v>248</v>
      </c>
      <c r="H67" s="13">
        <v>248</v>
      </c>
      <c r="I67" s="13">
        <v>248</v>
      </c>
      <c r="J67" s="13">
        <v>248</v>
      </c>
      <c r="K67" s="13">
        <v>248</v>
      </c>
      <c r="L67" s="13">
        <v>548</v>
      </c>
      <c r="M67" s="13">
        <v>802.62</v>
      </c>
      <c r="N67" s="13">
        <v>548</v>
      </c>
      <c r="O67" s="13">
        <v>248</v>
      </c>
      <c r="P67" s="13">
        <v>548</v>
      </c>
      <c r="Q67" s="13">
        <v>810</v>
      </c>
      <c r="R67" s="13">
        <v>810</v>
      </c>
      <c r="S67" s="13">
        <v>548</v>
      </c>
      <c r="T67" s="13">
        <v>248</v>
      </c>
      <c r="U67" s="13">
        <v>548</v>
      </c>
      <c r="V67" s="13">
        <v>810</v>
      </c>
      <c r="W67" s="13">
        <v>548</v>
      </c>
      <c r="X67" s="13">
        <v>248</v>
      </c>
      <c r="Y67" s="13">
        <v>248</v>
      </c>
      <c r="Z67" s="13">
        <v>248</v>
      </c>
    </row>
    <row r="68" spans="1:26" x14ac:dyDescent="0.35">
      <c r="A68" s="6" t="s">
        <v>26</v>
      </c>
      <c r="B68" s="10" t="s">
        <v>27</v>
      </c>
      <c r="C68" s="13">
        <v>347.85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</row>
    <row r="69" spans="1:26" x14ac:dyDescent="0.35">
      <c r="A69" s="6" t="s">
        <v>28</v>
      </c>
      <c r="B69" s="10" t="s">
        <v>29</v>
      </c>
      <c r="C69" s="13">
        <v>543.83000000000004</v>
      </c>
      <c r="D69" s="13">
        <v>663.83</v>
      </c>
      <c r="E69" s="13">
        <v>772.84</v>
      </c>
      <c r="F69" s="13">
        <v>693.02</v>
      </c>
      <c r="G69" s="13">
        <v>813.02</v>
      </c>
      <c r="H69" s="13">
        <v>870</v>
      </c>
      <c r="I69" s="13">
        <v>870</v>
      </c>
      <c r="J69" s="13">
        <v>788.33</v>
      </c>
      <c r="K69" s="13">
        <v>870</v>
      </c>
      <c r="L69" s="13">
        <v>870</v>
      </c>
      <c r="M69" s="13">
        <v>870</v>
      </c>
      <c r="N69" s="13">
        <v>870</v>
      </c>
      <c r="O69" s="13">
        <v>870</v>
      </c>
      <c r="P69" s="13">
        <v>870</v>
      </c>
      <c r="Q69" s="13">
        <v>870</v>
      </c>
      <c r="R69" s="13">
        <v>870</v>
      </c>
      <c r="S69" s="13">
        <v>870</v>
      </c>
      <c r="T69" s="13">
        <v>870</v>
      </c>
      <c r="U69" s="13">
        <v>870</v>
      </c>
      <c r="V69" s="13">
        <v>870</v>
      </c>
      <c r="W69" s="13">
        <v>870</v>
      </c>
      <c r="X69" s="13">
        <v>870</v>
      </c>
      <c r="Y69" s="13">
        <v>870</v>
      </c>
      <c r="Z69" s="13">
        <v>870</v>
      </c>
    </row>
    <row r="70" spans="1:26" x14ac:dyDescent="0.35">
      <c r="A70" s="6" t="s">
        <v>30</v>
      </c>
      <c r="B70" s="10" t="s">
        <v>31</v>
      </c>
      <c r="C70" s="13">
        <v>720</v>
      </c>
      <c r="D70" s="13">
        <v>840</v>
      </c>
      <c r="E70" s="13">
        <v>840</v>
      </c>
      <c r="F70" s="13">
        <v>840</v>
      </c>
      <c r="G70" s="13">
        <v>720</v>
      </c>
      <c r="H70" s="13">
        <v>840</v>
      </c>
      <c r="I70" s="13">
        <v>840</v>
      </c>
      <c r="J70" s="13">
        <v>840</v>
      </c>
      <c r="K70" s="13">
        <v>840</v>
      </c>
      <c r="L70" s="13">
        <v>840</v>
      </c>
      <c r="M70" s="13">
        <v>840</v>
      </c>
      <c r="N70" s="13">
        <v>840</v>
      </c>
      <c r="O70" s="13">
        <v>840</v>
      </c>
      <c r="P70" s="13">
        <v>840</v>
      </c>
      <c r="Q70" s="13">
        <v>840</v>
      </c>
      <c r="R70" s="13">
        <v>840</v>
      </c>
      <c r="S70" s="13">
        <v>840</v>
      </c>
      <c r="T70" s="13">
        <v>840</v>
      </c>
      <c r="U70" s="13">
        <v>840</v>
      </c>
      <c r="V70" s="13">
        <v>840</v>
      </c>
      <c r="W70" s="13">
        <v>840</v>
      </c>
      <c r="X70" s="13">
        <v>840</v>
      </c>
      <c r="Y70" s="13">
        <v>840</v>
      </c>
      <c r="Z70" s="13">
        <v>840</v>
      </c>
    </row>
    <row r="71" spans="1:26" x14ac:dyDescent="0.35">
      <c r="A71" s="6" t="s">
        <v>33</v>
      </c>
      <c r="B71" s="11" t="s">
        <v>36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</row>
    <row r="72" spans="1:26" x14ac:dyDescent="0.35">
      <c r="A72" s="6" t="s">
        <v>35</v>
      </c>
      <c r="B72" s="11" t="s">
        <v>37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</row>
    <row r="73" spans="1:26" x14ac:dyDescent="0.35">
      <c r="A73" s="6" t="s">
        <v>34</v>
      </c>
      <c r="B73" s="11" t="s">
        <v>38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</row>
    <row r="77" spans="1:26" x14ac:dyDescent="0.35">
      <c r="A77" t="s">
        <v>55</v>
      </c>
    </row>
    <row r="78" spans="1:26" x14ac:dyDescent="0.35">
      <c r="A78" s="21" t="s">
        <v>11</v>
      </c>
      <c r="B78" s="21"/>
      <c r="C78" s="22" t="s">
        <v>10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x14ac:dyDescent="0.35">
      <c r="A79" s="21"/>
      <c r="B79" s="21"/>
      <c r="C79" s="12">
        <v>1</v>
      </c>
      <c r="D79" s="12">
        <v>2</v>
      </c>
      <c r="E79" s="12">
        <v>3</v>
      </c>
      <c r="F79" s="12">
        <v>4</v>
      </c>
      <c r="G79" s="12">
        <v>5</v>
      </c>
      <c r="H79" s="12">
        <v>6</v>
      </c>
      <c r="I79" s="12">
        <v>7</v>
      </c>
      <c r="J79" s="12">
        <v>8</v>
      </c>
      <c r="K79" s="12">
        <v>9</v>
      </c>
      <c r="L79" s="12">
        <v>10</v>
      </c>
      <c r="M79" s="12">
        <v>11</v>
      </c>
      <c r="N79" s="12">
        <v>12</v>
      </c>
      <c r="O79" s="12">
        <v>13</v>
      </c>
      <c r="P79" s="12">
        <v>14</v>
      </c>
      <c r="Q79" s="12">
        <v>15</v>
      </c>
      <c r="R79" s="12">
        <v>16</v>
      </c>
      <c r="S79" s="12">
        <v>17</v>
      </c>
      <c r="T79" s="12">
        <v>18</v>
      </c>
      <c r="U79" s="12">
        <v>19</v>
      </c>
      <c r="V79" s="12">
        <v>20</v>
      </c>
      <c r="W79" s="12">
        <v>21</v>
      </c>
      <c r="X79" s="12">
        <v>22</v>
      </c>
      <c r="Y79" s="12">
        <v>23</v>
      </c>
      <c r="Z79" s="12">
        <v>24</v>
      </c>
    </row>
    <row r="80" spans="1:26" x14ac:dyDescent="0.35">
      <c r="A80" s="6" t="s">
        <v>12</v>
      </c>
      <c r="B80" s="10" t="s">
        <v>13</v>
      </c>
      <c r="C80" s="13">
        <v>1056</v>
      </c>
      <c r="D80" s="13">
        <v>936</v>
      </c>
      <c r="E80" s="13">
        <v>816</v>
      </c>
      <c r="F80" s="13">
        <v>696</v>
      </c>
      <c r="G80" s="13">
        <v>627</v>
      </c>
      <c r="H80" s="13">
        <v>665.88</v>
      </c>
      <c r="I80" s="13">
        <v>785.88</v>
      </c>
      <c r="J80" s="13">
        <v>819.18</v>
      </c>
      <c r="K80" s="13">
        <v>939.18</v>
      </c>
      <c r="L80" s="13">
        <v>939.18</v>
      </c>
      <c r="M80" s="13">
        <v>939.18</v>
      </c>
      <c r="N80" s="13">
        <v>939.18</v>
      </c>
      <c r="O80" s="13">
        <v>939.18</v>
      </c>
      <c r="P80" s="13">
        <v>939.18</v>
      </c>
      <c r="Q80" s="13">
        <v>939.18</v>
      </c>
      <c r="R80" s="13">
        <v>939.18</v>
      </c>
      <c r="S80" s="13">
        <v>939.18</v>
      </c>
      <c r="T80" s="13">
        <v>939.18</v>
      </c>
      <c r="U80" s="13">
        <v>939.18</v>
      </c>
      <c r="V80" s="13">
        <v>939.18</v>
      </c>
      <c r="W80" s="13">
        <v>939.18</v>
      </c>
      <c r="X80" s="13">
        <v>939.18</v>
      </c>
      <c r="Y80" s="13">
        <v>939.18</v>
      </c>
      <c r="Z80" s="13">
        <v>939.18</v>
      </c>
    </row>
    <row r="81" spans="1:26" x14ac:dyDescent="0.35">
      <c r="A81" s="6" t="s">
        <v>14</v>
      </c>
      <c r="B81" s="10" t="s">
        <v>15</v>
      </c>
      <c r="C81" s="13">
        <v>340</v>
      </c>
      <c r="D81" s="13">
        <v>340</v>
      </c>
      <c r="E81" s="13">
        <v>340</v>
      </c>
      <c r="F81" s="13">
        <v>340</v>
      </c>
      <c r="G81" s="13">
        <v>340</v>
      </c>
      <c r="H81" s="13">
        <v>340</v>
      </c>
      <c r="I81" s="13">
        <v>340</v>
      </c>
      <c r="J81" s="13">
        <v>340</v>
      </c>
      <c r="K81" s="13">
        <v>340</v>
      </c>
      <c r="L81" s="13">
        <v>340</v>
      </c>
      <c r="M81" s="13">
        <v>340</v>
      </c>
      <c r="N81" s="13">
        <v>340</v>
      </c>
      <c r="O81" s="13">
        <v>340</v>
      </c>
      <c r="P81" s="13">
        <v>340</v>
      </c>
      <c r="Q81" s="13">
        <v>640</v>
      </c>
      <c r="R81" s="13">
        <v>340</v>
      </c>
      <c r="S81" s="13">
        <v>640</v>
      </c>
      <c r="T81" s="13">
        <v>545.91</v>
      </c>
      <c r="U81" s="13">
        <v>845.91</v>
      </c>
      <c r="V81" s="13">
        <v>939.18</v>
      </c>
      <c r="W81" s="13">
        <v>639.17999999999995</v>
      </c>
      <c r="X81" s="13">
        <v>340</v>
      </c>
      <c r="Y81" s="13">
        <v>637.66</v>
      </c>
      <c r="Z81" s="13">
        <v>340</v>
      </c>
    </row>
    <row r="82" spans="1:26" x14ac:dyDescent="0.35">
      <c r="A82" s="6" t="s">
        <v>16</v>
      </c>
      <c r="B82" s="10" t="s">
        <v>17</v>
      </c>
      <c r="C82" s="13">
        <v>720</v>
      </c>
      <c r="D82" s="13">
        <v>840</v>
      </c>
      <c r="E82" s="13">
        <v>917.79</v>
      </c>
      <c r="F82" s="13">
        <v>797.79</v>
      </c>
      <c r="G82" s="13">
        <v>914.38</v>
      </c>
      <c r="H82" s="13">
        <v>939.18</v>
      </c>
      <c r="I82" s="13">
        <v>939.18</v>
      </c>
      <c r="J82" s="13">
        <v>915.97</v>
      </c>
      <c r="K82" s="13">
        <v>939.18</v>
      </c>
      <c r="L82" s="13">
        <v>939.18</v>
      </c>
      <c r="M82" s="13">
        <v>939.18</v>
      </c>
      <c r="N82" s="13">
        <v>939.18</v>
      </c>
      <c r="O82" s="13">
        <v>939.18</v>
      </c>
      <c r="P82" s="13">
        <v>939.18</v>
      </c>
      <c r="Q82" s="13">
        <v>939.18</v>
      </c>
      <c r="R82" s="13">
        <v>939.18</v>
      </c>
      <c r="S82" s="13">
        <v>939.18</v>
      </c>
      <c r="T82" s="13">
        <v>939.18</v>
      </c>
      <c r="U82" s="13">
        <v>939.18</v>
      </c>
      <c r="V82" s="13">
        <v>939.18</v>
      </c>
      <c r="W82" s="13">
        <v>939.18</v>
      </c>
      <c r="X82" s="13">
        <v>939.18</v>
      </c>
      <c r="Y82" s="13">
        <v>939.18</v>
      </c>
      <c r="Z82" s="13">
        <v>939.18</v>
      </c>
    </row>
    <row r="83" spans="1:26" x14ac:dyDescent="0.35">
      <c r="A83" s="6" t="s">
        <v>18</v>
      </c>
      <c r="B83" s="10" t="s">
        <v>19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</row>
    <row r="84" spans="1:26" x14ac:dyDescent="0.35">
      <c r="A84" s="6" t="s">
        <v>20</v>
      </c>
      <c r="B84" s="10" t="s">
        <v>21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</row>
    <row r="85" spans="1:26" x14ac:dyDescent="0.35">
      <c r="A85" s="6" t="s">
        <v>22</v>
      </c>
      <c r="B85" s="10" t="s">
        <v>23</v>
      </c>
      <c r="C85" s="13">
        <v>250</v>
      </c>
      <c r="D85" s="13">
        <v>250</v>
      </c>
      <c r="E85" s="13">
        <v>250</v>
      </c>
      <c r="F85" s="13">
        <v>250</v>
      </c>
      <c r="G85" s="13">
        <v>250</v>
      </c>
      <c r="H85" s="13">
        <v>250</v>
      </c>
      <c r="I85" s="13">
        <v>250</v>
      </c>
      <c r="J85" s="13">
        <v>250</v>
      </c>
      <c r="K85" s="13">
        <v>250</v>
      </c>
      <c r="L85" s="13">
        <v>250</v>
      </c>
      <c r="M85" s="13">
        <v>258.24</v>
      </c>
      <c r="N85" s="13">
        <v>475.76</v>
      </c>
      <c r="O85" s="13">
        <v>685.22</v>
      </c>
      <c r="P85" s="13">
        <v>779.45</v>
      </c>
      <c r="Q85" s="13">
        <v>571.07000000000005</v>
      </c>
      <c r="R85" s="13">
        <v>586.23</v>
      </c>
      <c r="S85" s="13">
        <v>286.23</v>
      </c>
      <c r="T85" s="13">
        <v>278.27999999999997</v>
      </c>
      <c r="U85" s="13">
        <v>250</v>
      </c>
      <c r="V85" s="13">
        <v>276.86</v>
      </c>
      <c r="W85" s="13">
        <v>576.86</v>
      </c>
      <c r="X85" s="13">
        <v>550</v>
      </c>
      <c r="Y85" s="13">
        <v>250</v>
      </c>
      <c r="Z85" s="13">
        <v>250</v>
      </c>
    </row>
    <row r="86" spans="1:26" x14ac:dyDescent="0.35">
      <c r="A86" s="6" t="s">
        <v>24</v>
      </c>
      <c r="B86" s="10" t="s">
        <v>25</v>
      </c>
      <c r="C86" s="13">
        <v>248</v>
      </c>
      <c r="D86" s="13">
        <v>248</v>
      </c>
      <c r="E86" s="13">
        <v>248</v>
      </c>
      <c r="F86" s="13">
        <v>248</v>
      </c>
      <c r="G86" s="13">
        <v>248</v>
      </c>
      <c r="H86" s="13">
        <v>248</v>
      </c>
      <c r="I86" s="13">
        <v>248</v>
      </c>
      <c r="J86" s="13">
        <v>248</v>
      </c>
      <c r="K86" s="13">
        <v>353.09</v>
      </c>
      <c r="L86" s="13">
        <v>653.09</v>
      </c>
      <c r="M86" s="13">
        <v>810</v>
      </c>
      <c r="N86" s="13">
        <v>548</v>
      </c>
      <c r="O86" s="13">
        <v>248</v>
      </c>
      <c r="P86" s="13">
        <v>248</v>
      </c>
      <c r="Q86" s="13">
        <v>248</v>
      </c>
      <c r="R86" s="13">
        <v>548</v>
      </c>
      <c r="S86" s="13">
        <v>485.86</v>
      </c>
      <c r="T86" s="13">
        <v>548</v>
      </c>
      <c r="U86" s="13">
        <v>248</v>
      </c>
      <c r="V86" s="13">
        <v>248</v>
      </c>
      <c r="W86" s="13">
        <v>248</v>
      </c>
      <c r="X86" s="13">
        <v>439.22</v>
      </c>
      <c r="Y86" s="13">
        <v>248</v>
      </c>
      <c r="Z86" s="13">
        <v>317.89999999999998</v>
      </c>
    </row>
    <row r="87" spans="1:26" x14ac:dyDescent="0.35">
      <c r="A87" s="6" t="s">
        <v>26</v>
      </c>
      <c r="B87" s="10" t="s">
        <v>27</v>
      </c>
      <c r="C87" s="13">
        <v>347.85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</row>
    <row r="88" spans="1:26" x14ac:dyDescent="0.35">
      <c r="A88" s="6" t="s">
        <v>28</v>
      </c>
      <c r="B88" s="10" t="s">
        <v>29</v>
      </c>
      <c r="C88" s="13">
        <v>561.25</v>
      </c>
      <c r="D88" s="13">
        <v>681.25</v>
      </c>
      <c r="E88" s="13">
        <v>750</v>
      </c>
      <c r="F88" s="13">
        <v>870</v>
      </c>
      <c r="G88" s="13">
        <v>870</v>
      </c>
      <c r="H88" s="13">
        <v>870</v>
      </c>
      <c r="I88" s="13">
        <v>870</v>
      </c>
      <c r="J88" s="13">
        <v>870</v>
      </c>
      <c r="K88" s="13">
        <v>870</v>
      </c>
      <c r="L88" s="13">
        <v>870</v>
      </c>
      <c r="M88" s="13">
        <v>870</v>
      </c>
      <c r="N88" s="13">
        <v>870</v>
      </c>
      <c r="O88" s="13">
        <v>870</v>
      </c>
      <c r="P88" s="13">
        <v>870</v>
      </c>
      <c r="Q88" s="13">
        <v>870</v>
      </c>
      <c r="R88" s="13">
        <v>870</v>
      </c>
      <c r="S88" s="13">
        <v>870</v>
      </c>
      <c r="T88" s="13">
        <v>870</v>
      </c>
      <c r="U88" s="13">
        <v>870</v>
      </c>
      <c r="V88" s="13">
        <v>870</v>
      </c>
      <c r="W88" s="13">
        <v>870</v>
      </c>
      <c r="X88" s="13">
        <v>870</v>
      </c>
      <c r="Y88" s="13">
        <v>870</v>
      </c>
      <c r="Z88" s="13">
        <v>870</v>
      </c>
    </row>
    <row r="89" spans="1:26" x14ac:dyDescent="0.35">
      <c r="A89" s="6" t="s">
        <v>30</v>
      </c>
      <c r="B89" s="10" t="s">
        <v>31</v>
      </c>
      <c r="C89" s="13">
        <v>720</v>
      </c>
      <c r="D89" s="13">
        <v>840</v>
      </c>
      <c r="E89" s="13">
        <v>840</v>
      </c>
      <c r="F89" s="13">
        <v>840</v>
      </c>
      <c r="G89" s="13">
        <v>840</v>
      </c>
      <c r="H89" s="13">
        <v>840</v>
      </c>
      <c r="I89" s="13">
        <v>840</v>
      </c>
      <c r="J89" s="13">
        <v>840</v>
      </c>
      <c r="K89" s="13">
        <v>840</v>
      </c>
      <c r="L89" s="13">
        <v>840</v>
      </c>
      <c r="M89" s="13">
        <v>840</v>
      </c>
      <c r="N89" s="13">
        <v>840</v>
      </c>
      <c r="O89" s="13">
        <v>840</v>
      </c>
      <c r="P89" s="13">
        <v>840</v>
      </c>
      <c r="Q89" s="13">
        <v>840</v>
      </c>
      <c r="R89" s="13">
        <v>840</v>
      </c>
      <c r="S89" s="13">
        <v>840</v>
      </c>
      <c r="T89" s="13">
        <v>840</v>
      </c>
      <c r="U89" s="13">
        <v>840</v>
      </c>
      <c r="V89" s="13">
        <v>840</v>
      </c>
      <c r="W89" s="13">
        <v>840</v>
      </c>
      <c r="X89" s="13">
        <v>840</v>
      </c>
      <c r="Y89" s="13">
        <v>840</v>
      </c>
      <c r="Z89" s="13">
        <v>840</v>
      </c>
    </row>
    <row r="90" spans="1:26" x14ac:dyDescent="0.35">
      <c r="A90" s="6" t="s">
        <v>33</v>
      </c>
      <c r="B90" s="11" t="s">
        <v>36</v>
      </c>
      <c r="C90" s="17">
        <v>-12.42080963067804</v>
      </c>
      <c r="D90" s="17">
        <v>17.92080963067804</v>
      </c>
      <c r="E90" s="17">
        <v>-52.590792798946268</v>
      </c>
      <c r="F90" s="17">
        <v>-32.409207201053732</v>
      </c>
      <c r="G90" s="17">
        <v>-60</v>
      </c>
      <c r="H90" s="17">
        <v>58.460611796848752</v>
      </c>
      <c r="I90" s="17">
        <v>0</v>
      </c>
      <c r="J90" s="17">
        <v>-58.460611796848752</v>
      </c>
      <c r="K90" s="17">
        <v>0</v>
      </c>
      <c r="L90" s="17">
        <v>15.61785236864057</v>
      </c>
      <c r="M90" s="17">
        <v>-15.61785236864057</v>
      </c>
      <c r="N90" s="17">
        <v>60</v>
      </c>
      <c r="O90" s="17">
        <v>-60</v>
      </c>
      <c r="P90" s="17">
        <v>0</v>
      </c>
      <c r="Q90" s="17">
        <v>60</v>
      </c>
      <c r="R90" s="17">
        <v>0</v>
      </c>
      <c r="S90" s="17">
        <v>0</v>
      </c>
      <c r="T90" s="17">
        <v>-60</v>
      </c>
      <c r="U90" s="17">
        <v>0</v>
      </c>
      <c r="V90" s="17">
        <v>60</v>
      </c>
      <c r="W90" s="17">
        <v>28.284545055373659</v>
      </c>
      <c r="X90" s="17">
        <v>56.715454944626337</v>
      </c>
      <c r="Y90" s="17">
        <v>-5.5</v>
      </c>
      <c r="Z90" s="17">
        <v>0</v>
      </c>
    </row>
    <row r="91" spans="1:26" x14ac:dyDescent="0.35">
      <c r="A91" s="6" t="s">
        <v>35</v>
      </c>
      <c r="B91" s="11" t="s">
        <v>37</v>
      </c>
      <c r="C91" s="17">
        <v>-5</v>
      </c>
      <c r="D91" s="17">
        <v>20</v>
      </c>
      <c r="E91" s="17">
        <v>-20</v>
      </c>
      <c r="F91" s="17">
        <v>0</v>
      </c>
      <c r="G91" s="17">
        <v>-20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20</v>
      </c>
      <c r="O91" s="17">
        <v>-20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20</v>
      </c>
      <c r="V91" s="17">
        <v>20</v>
      </c>
      <c r="W91" s="17">
        <v>0</v>
      </c>
      <c r="X91" s="17">
        <v>0</v>
      </c>
      <c r="Y91" s="17">
        <v>-15</v>
      </c>
      <c r="Z91" s="17">
        <v>0</v>
      </c>
    </row>
    <row r="92" spans="1:26" x14ac:dyDescent="0.35">
      <c r="A92" s="6" t="s">
        <v>34</v>
      </c>
      <c r="B92" s="11" t="s">
        <v>38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</row>
    <row r="96" spans="1:26" x14ac:dyDescent="0.35">
      <c r="A96" t="s">
        <v>57</v>
      </c>
    </row>
    <row r="97" spans="1:26" x14ac:dyDescent="0.35">
      <c r="A97" s="21" t="s">
        <v>11</v>
      </c>
      <c r="B97" s="21"/>
      <c r="C97" s="22" t="s">
        <v>10</v>
      </c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x14ac:dyDescent="0.35">
      <c r="A98" s="21"/>
      <c r="B98" s="21"/>
      <c r="C98" s="12">
        <v>1</v>
      </c>
      <c r="D98" s="12">
        <v>2</v>
      </c>
      <c r="E98" s="12">
        <v>3</v>
      </c>
      <c r="F98" s="12">
        <v>4</v>
      </c>
      <c r="G98" s="12">
        <v>5</v>
      </c>
      <c r="H98" s="12">
        <v>6</v>
      </c>
      <c r="I98" s="12">
        <v>7</v>
      </c>
      <c r="J98" s="12">
        <v>8</v>
      </c>
      <c r="K98" s="12">
        <v>9</v>
      </c>
      <c r="L98" s="12">
        <v>10</v>
      </c>
      <c r="M98" s="12">
        <v>11</v>
      </c>
      <c r="N98" s="12">
        <v>12</v>
      </c>
      <c r="O98" s="12">
        <v>13</v>
      </c>
      <c r="P98" s="12">
        <v>14</v>
      </c>
      <c r="Q98" s="12">
        <v>15</v>
      </c>
      <c r="R98" s="12">
        <v>16</v>
      </c>
      <c r="S98" s="12">
        <v>17</v>
      </c>
      <c r="T98" s="12">
        <v>18</v>
      </c>
      <c r="U98" s="12">
        <v>19</v>
      </c>
      <c r="V98" s="12">
        <v>20</v>
      </c>
      <c r="W98" s="12">
        <v>21</v>
      </c>
      <c r="X98" s="12">
        <v>22</v>
      </c>
      <c r="Y98" s="12">
        <v>23</v>
      </c>
      <c r="Z98" s="12">
        <v>24</v>
      </c>
    </row>
    <row r="99" spans="1:26" x14ac:dyDescent="0.35">
      <c r="A99" s="6" t="s">
        <v>12</v>
      </c>
      <c r="B99" s="10" t="s">
        <v>13</v>
      </c>
      <c r="C99" s="13">
        <v>1056</v>
      </c>
      <c r="D99" s="13">
        <v>936</v>
      </c>
      <c r="E99" s="13">
        <v>816</v>
      </c>
      <c r="F99" s="13">
        <v>696</v>
      </c>
      <c r="G99" s="13">
        <v>627</v>
      </c>
      <c r="H99" s="13">
        <v>627</v>
      </c>
      <c r="I99" s="13">
        <v>627</v>
      </c>
      <c r="J99" s="13">
        <v>703.68</v>
      </c>
      <c r="K99" s="13">
        <v>819.18</v>
      </c>
      <c r="L99" s="13">
        <v>939.18</v>
      </c>
      <c r="M99" s="13">
        <v>939.18</v>
      </c>
      <c r="N99" s="13">
        <v>939.18</v>
      </c>
      <c r="O99" s="13">
        <v>939.18</v>
      </c>
      <c r="P99" s="13">
        <v>939.18</v>
      </c>
      <c r="Q99" s="13">
        <v>939.18</v>
      </c>
      <c r="R99" s="13">
        <v>939.18</v>
      </c>
      <c r="S99" s="13">
        <v>939.18</v>
      </c>
      <c r="T99" s="13">
        <v>939.18</v>
      </c>
      <c r="U99" s="13">
        <v>939.18</v>
      </c>
      <c r="V99" s="13">
        <v>939.18</v>
      </c>
      <c r="W99" s="13">
        <v>939.18</v>
      </c>
      <c r="X99" s="13">
        <v>939.18</v>
      </c>
      <c r="Y99" s="13">
        <v>939.18</v>
      </c>
      <c r="Z99" s="13">
        <v>889.27</v>
      </c>
    </row>
    <row r="100" spans="1:26" x14ac:dyDescent="0.35">
      <c r="A100" s="6" t="s">
        <v>14</v>
      </c>
      <c r="B100" s="10" t="s">
        <v>15</v>
      </c>
      <c r="C100" s="13">
        <v>340</v>
      </c>
      <c r="D100" s="13">
        <v>340</v>
      </c>
      <c r="E100" s="13">
        <v>340</v>
      </c>
      <c r="F100" s="13">
        <v>340</v>
      </c>
      <c r="G100" s="13">
        <v>340</v>
      </c>
      <c r="H100" s="13">
        <v>340</v>
      </c>
      <c r="I100" s="13">
        <v>340</v>
      </c>
      <c r="J100" s="13">
        <v>340</v>
      </c>
      <c r="K100" s="13">
        <v>340</v>
      </c>
      <c r="L100" s="13">
        <v>340</v>
      </c>
      <c r="M100" s="13">
        <v>340</v>
      </c>
      <c r="N100" s="13">
        <v>640</v>
      </c>
      <c r="O100" s="13">
        <v>340</v>
      </c>
      <c r="P100" s="13">
        <v>435.42</v>
      </c>
      <c r="Q100" s="13">
        <v>631.98</v>
      </c>
      <c r="R100" s="13">
        <v>372.91</v>
      </c>
      <c r="S100" s="13">
        <v>340</v>
      </c>
      <c r="T100" s="13">
        <v>340</v>
      </c>
      <c r="U100" s="13">
        <v>340</v>
      </c>
      <c r="V100" s="13">
        <v>358.83</v>
      </c>
      <c r="W100" s="13">
        <v>658.83</v>
      </c>
      <c r="X100" s="13">
        <v>365.57</v>
      </c>
      <c r="Y100" s="13">
        <v>340</v>
      </c>
      <c r="Z100" s="13">
        <v>340</v>
      </c>
    </row>
    <row r="101" spans="1:26" x14ac:dyDescent="0.35">
      <c r="A101" s="6" t="s">
        <v>16</v>
      </c>
      <c r="B101" s="10" t="s">
        <v>17</v>
      </c>
      <c r="C101" s="13">
        <v>600</v>
      </c>
      <c r="D101" s="13">
        <v>600.66</v>
      </c>
      <c r="E101" s="13">
        <v>600</v>
      </c>
      <c r="F101" s="13">
        <v>600</v>
      </c>
      <c r="G101" s="13">
        <v>644.14</v>
      </c>
      <c r="H101" s="13">
        <v>764.14</v>
      </c>
      <c r="I101" s="13">
        <v>847.43</v>
      </c>
      <c r="J101" s="13">
        <v>735.68</v>
      </c>
      <c r="K101" s="13">
        <v>855.68</v>
      </c>
      <c r="L101" s="13">
        <v>939.18</v>
      </c>
      <c r="M101" s="13">
        <v>939.18</v>
      </c>
      <c r="N101" s="13">
        <v>939.18</v>
      </c>
      <c r="O101" s="13">
        <v>939.18</v>
      </c>
      <c r="P101" s="13">
        <v>939.18</v>
      </c>
      <c r="Q101" s="13">
        <v>939.18</v>
      </c>
      <c r="R101" s="13">
        <v>939.18</v>
      </c>
      <c r="S101" s="13">
        <v>939.18</v>
      </c>
      <c r="T101" s="13">
        <v>939.18</v>
      </c>
      <c r="U101" s="13">
        <v>939.18</v>
      </c>
      <c r="V101" s="13">
        <v>939.18</v>
      </c>
      <c r="W101" s="13">
        <v>939.18</v>
      </c>
      <c r="X101" s="13">
        <v>939.18</v>
      </c>
      <c r="Y101" s="13">
        <v>939.18</v>
      </c>
      <c r="Z101" s="13">
        <v>939.18</v>
      </c>
    </row>
    <row r="102" spans="1:26" x14ac:dyDescent="0.35">
      <c r="A102" s="6" t="s">
        <v>18</v>
      </c>
      <c r="B102" s="10" t="s">
        <v>19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</row>
    <row r="103" spans="1:26" x14ac:dyDescent="0.35">
      <c r="A103" s="6" t="s">
        <v>20</v>
      </c>
      <c r="B103" s="10" t="s">
        <v>21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</row>
    <row r="104" spans="1:26" x14ac:dyDescent="0.35">
      <c r="A104" s="6" t="s">
        <v>22</v>
      </c>
      <c r="B104" s="10" t="s">
        <v>23</v>
      </c>
      <c r="C104" s="13">
        <v>250</v>
      </c>
      <c r="D104" s="13">
        <v>250</v>
      </c>
      <c r="E104" s="13">
        <v>250</v>
      </c>
      <c r="F104" s="13">
        <v>250</v>
      </c>
      <c r="G104" s="13">
        <v>250</v>
      </c>
      <c r="H104" s="13">
        <v>250</v>
      </c>
      <c r="I104" s="13">
        <v>250</v>
      </c>
      <c r="J104" s="13">
        <v>250</v>
      </c>
      <c r="K104" s="13">
        <v>250</v>
      </c>
      <c r="L104" s="13">
        <v>279.73</v>
      </c>
      <c r="M104" s="13">
        <v>250</v>
      </c>
      <c r="N104" s="13">
        <v>250</v>
      </c>
      <c r="O104" s="13">
        <v>486.68</v>
      </c>
      <c r="P104" s="13">
        <v>250</v>
      </c>
      <c r="Q104" s="13">
        <v>250</v>
      </c>
      <c r="R104" s="13">
        <v>250</v>
      </c>
      <c r="S104" s="13">
        <v>250</v>
      </c>
      <c r="T104" s="13">
        <v>418.27</v>
      </c>
      <c r="U104" s="13">
        <v>250</v>
      </c>
      <c r="V104" s="13">
        <v>550</v>
      </c>
      <c r="W104" s="13">
        <v>250</v>
      </c>
      <c r="X104" s="13">
        <v>250</v>
      </c>
      <c r="Y104" s="13">
        <v>250</v>
      </c>
      <c r="Z104" s="13">
        <v>250</v>
      </c>
    </row>
    <row r="105" spans="1:26" x14ac:dyDescent="0.35">
      <c r="A105" s="6" t="s">
        <v>24</v>
      </c>
      <c r="B105" s="10" t="s">
        <v>25</v>
      </c>
      <c r="C105" s="13">
        <v>248</v>
      </c>
      <c r="D105" s="13">
        <v>248</v>
      </c>
      <c r="E105" s="13">
        <v>248</v>
      </c>
      <c r="F105" s="13">
        <v>248</v>
      </c>
      <c r="G105" s="13">
        <v>248</v>
      </c>
      <c r="H105" s="13">
        <v>248</v>
      </c>
      <c r="I105" s="13">
        <v>248</v>
      </c>
      <c r="J105" s="13">
        <v>248</v>
      </c>
      <c r="K105" s="13">
        <v>248</v>
      </c>
      <c r="L105" s="13">
        <v>248</v>
      </c>
      <c r="M105" s="13">
        <v>513.96</v>
      </c>
      <c r="N105" s="13">
        <v>313.19</v>
      </c>
      <c r="O105" s="13">
        <v>248</v>
      </c>
      <c r="P105" s="13">
        <v>548</v>
      </c>
      <c r="Q105" s="13">
        <v>510</v>
      </c>
      <c r="R105" s="13">
        <v>810</v>
      </c>
      <c r="S105" s="13">
        <v>636.69000000000005</v>
      </c>
      <c r="T105" s="13">
        <v>336.69</v>
      </c>
      <c r="U105" s="13">
        <v>520.21</v>
      </c>
      <c r="V105" s="13">
        <v>308.83</v>
      </c>
      <c r="W105" s="13">
        <v>248</v>
      </c>
      <c r="X105" s="13">
        <v>548</v>
      </c>
      <c r="Y105" s="13">
        <v>305.69</v>
      </c>
      <c r="Z105" s="13">
        <v>248</v>
      </c>
    </row>
    <row r="106" spans="1:26" x14ac:dyDescent="0.35">
      <c r="A106" s="6" t="s">
        <v>26</v>
      </c>
      <c r="B106" s="10" t="s">
        <v>27</v>
      </c>
      <c r="C106" s="13">
        <v>347.85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</row>
    <row r="107" spans="1:26" x14ac:dyDescent="0.35">
      <c r="A107" s="6" t="s">
        <v>28</v>
      </c>
      <c r="B107" s="10" t="s">
        <v>29</v>
      </c>
      <c r="C107" s="13">
        <v>540</v>
      </c>
      <c r="D107" s="13">
        <v>660</v>
      </c>
      <c r="E107" s="13">
        <v>750</v>
      </c>
      <c r="F107" s="13">
        <v>870</v>
      </c>
      <c r="G107" s="13">
        <v>750</v>
      </c>
      <c r="H107" s="13">
        <v>870</v>
      </c>
      <c r="I107" s="13">
        <v>870</v>
      </c>
      <c r="J107" s="13">
        <v>870</v>
      </c>
      <c r="K107" s="13">
        <v>870</v>
      </c>
      <c r="L107" s="13">
        <v>870</v>
      </c>
      <c r="M107" s="13">
        <v>870</v>
      </c>
      <c r="N107" s="13">
        <v>870</v>
      </c>
      <c r="O107" s="13">
        <v>870</v>
      </c>
      <c r="P107" s="13">
        <v>870</v>
      </c>
      <c r="Q107" s="13">
        <v>870</v>
      </c>
      <c r="R107" s="13">
        <v>870</v>
      </c>
      <c r="S107" s="13">
        <v>870</v>
      </c>
      <c r="T107" s="13">
        <v>870</v>
      </c>
      <c r="U107" s="13">
        <v>870</v>
      </c>
      <c r="V107" s="13">
        <v>870</v>
      </c>
      <c r="W107" s="13">
        <v>870</v>
      </c>
      <c r="X107" s="13">
        <v>870</v>
      </c>
      <c r="Y107" s="13">
        <v>870</v>
      </c>
      <c r="Z107" s="13">
        <v>870</v>
      </c>
    </row>
    <row r="108" spans="1:26" x14ac:dyDescent="0.35">
      <c r="A108" s="6" t="s">
        <v>30</v>
      </c>
      <c r="B108" s="10" t="s">
        <v>31</v>
      </c>
      <c r="C108" s="13">
        <v>600</v>
      </c>
      <c r="D108" s="13">
        <v>720</v>
      </c>
      <c r="E108" s="13">
        <v>817.77</v>
      </c>
      <c r="F108" s="13">
        <v>697.77</v>
      </c>
      <c r="G108" s="13">
        <v>778.49</v>
      </c>
      <c r="H108" s="13">
        <v>840</v>
      </c>
      <c r="I108" s="13">
        <v>840</v>
      </c>
      <c r="J108" s="13">
        <v>840</v>
      </c>
      <c r="K108" s="13">
        <v>840</v>
      </c>
      <c r="L108" s="13">
        <v>840</v>
      </c>
      <c r="M108" s="13">
        <v>840</v>
      </c>
      <c r="N108" s="13">
        <v>840</v>
      </c>
      <c r="O108" s="13">
        <v>840</v>
      </c>
      <c r="P108" s="13">
        <v>840</v>
      </c>
      <c r="Q108" s="13">
        <v>840</v>
      </c>
      <c r="R108" s="13">
        <v>840</v>
      </c>
      <c r="S108" s="13">
        <v>840</v>
      </c>
      <c r="T108" s="13">
        <v>840</v>
      </c>
      <c r="U108" s="13">
        <v>840</v>
      </c>
      <c r="V108" s="13">
        <v>840</v>
      </c>
      <c r="W108" s="13">
        <v>840</v>
      </c>
      <c r="X108" s="13">
        <v>840</v>
      </c>
      <c r="Y108" s="13">
        <v>840</v>
      </c>
      <c r="Z108" s="13">
        <v>840</v>
      </c>
    </row>
    <row r="109" spans="1:26" x14ac:dyDescent="0.35">
      <c r="A109" s="6" t="s">
        <v>33</v>
      </c>
      <c r="B109" s="11" t="s">
        <v>36</v>
      </c>
      <c r="C109" s="17">
        <v>-60</v>
      </c>
      <c r="D109" s="17">
        <v>60</v>
      </c>
      <c r="E109" s="17">
        <v>-60</v>
      </c>
      <c r="F109" s="17">
        <v>-25.95561440210599</v>
      </c>
      <c r="G109" s="17">
        <v>0</v>
      </c>
      <c r="H109" s="17">
        <v>0</v>
      </c>
      <c r="I109" s="17">
        <v>-53.544385597894014</v>
      </c>
      <c r="J109" s="17">
        <v>0</v>
      </c>
      <c r="K109" s="17">
        <v>0</v>
      </c>
      <c r="L109" s="17">
        <v>0</v>
      </c>
      <c r="M109" s="17">
        <v>0</v>
      </c>
      <c r="N109" s="17">
        <v>60</v>
      </c>
      <c r="O109" s="17">
        <v>0</v>
      </c>
      <c r="P109" s="17">
        <v>0</v>
      </c>
      <c r="Q109" s="17">
        <v>0</v>
      </c>
      <c r="R109" s="17">
        <v>-60</v>
      </c>
      <c r="S109" s="17">
        <v>0</v>
      </c>
      <c r="T109" s="17">
        <v>0</v>
      </c>
      <c r="U109" s="17">
        <v>0</v>
      </c>
      <c r="V109" s="17">
        <v>60</v>
      </c>
      <c r="W109" s="17">
        <v>60</v>
      </c>
      <c r="X109" s="17">
        <v>25</v>
      </c>
      <c r="Y109" s="17">
        <v>0</v>
      </c>
      <c r="Z109" s="17">
        <v>-5.5000000000000044</v>
      </c>
    </row>
    <row r="110" spans="1:26" x14ac:dyDescent="0.35">
      <c r="A110" s="6" t="s">
        <v>35</v>
      </c>
      <c r="B110" s="11" t="s">
        <v>37</v>
      </c>
      <c r="C110" s="17">
        <v>-20</v>
      </c>
      <c r="D110" s="17">
        <v>20</v>
      </c>
      <c r="E110" s="17">
        <v>-20</v>
      </c>
      <c r="F110" s="17">
        <v>0</v>
      </c>
      <c r="G110" s="17">
        <v>0</v>
      </c>
      <c r="H110" s="17">
        <v>0</v>
      </c>
      <c r="I110" s="17">
        <v>-5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20</v>
      </c>
      <c r="V110" s="17">
        <v>0</v>
      </c>
      <c r="W110" s="17">
        <v>20</v>
      </c>
      <c r="X110" s="17">
        <v>0</v>
      </c>
      <c r="Y110" s="17">
        <v>0</v>
      </c>
      <c r="Z110" s="17">
        <v>-15</v>
      </c>
    </row>
    <row r="111" spans="1:26" x14ac:dyDescent="0.35">
      <c r="A111" s="6" t="s">
        <v>34</v>
      </c>
      <c r="B111" s="11" t="s">
        <v>38</v>
      </c>
      <c r="C111" s="13">
        <v>323.83</v>
      </c>
      <c r="D111" s="13">
        <v>338.51</v>
      </c>
      <c r="E111" s="13">
        <v>347.43</v>
      </c>
      <c r="F111" s="13">
        <v>333.57</v>
      </c>
      <c r="G111" s="13">
        <v>371.75</v>
      </c>
      <c r="H111" s="13">
        <v>272.38</v>
      </c>
      <c r="I111" s="13">
        <v>309.17</v>
      </c>
      <c r="J111" s="13">
        <v>237.33</v>
      </c>
      <c r="K111" s="13">
        <v>308.58999999999997</v>
      </c>
      <c r="L111" s="13">
        <v>390.99</v>
      </c>
      <c r="M111" s="13">
        <v>288.67</v>
      </c>
      <c r="N111" s="13">
        <v>180.56</v>
      </c>
      <c r="O111" s="13">
        <v>118.54</v>
      </c>
      <c r="P111" s="13">
        <v>134.03</v>
      </c>
      <c r="Q111" s="13">
        <v>127.09</v>
      </c>
      <c r="R111" s="13">
        <v>101.32</v>
      </c>
      <c r="S111" s="13">
        <v>185.4</v>
      </c>
      <c r="T111" s="13">
        <v>217.23</v>
      </c>
      <c r="U111" s="13">
        <v>233.7</v>
      </c>
      <c r="V111" s="13">
        <v>266.38</v>
      </c>
      <c r="W111" s="13">
        <v>255.5</v>
      </c>
      <c r="X111" s="13">
        <v>197.37</v>
      </c>
      <c r="Y111" s="13">
        <v>219.46</v>
      </c>
      <c r="Z111" s="13">
        <v>140.31</v>
      </c>
    </row>
    <row r="115" spans="1:26" x14ac:dyDescent="0.35">
      <c r="A115" t="s">
        <v>59</v>
      </c>
    </row>
    <row r="116" spans="1:26" x14ac:dyDescent="0.35">
      <c r="A116" s="21" t="s">
        <v>11</v>
      </c>
      <c r="B116" s="21"/>
      <c r="C116" s="22" t="s">
        <v>10</v>
      </c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x14ac:dyDescent="0.35">
      <c r="A117" s="21"/>
      <c r="B117" s="21"/>
      <c r="C117" s="12">
        <v>1</v>
      </c>
      <c r="D117" s="12">
        <v>2</v>
      </c>
      <c r="E117" s="12">
        <v>3</v>
      </c>
      <c r="F117" s="12">
        <v>4</v>
      </c>
      <c r="G117" s="12">
        <v>5</v>
      </c>
      <c r="H117" s="12">
        <v>6</v>
      </c>
      <c r="I117" s="12">
        <v>7</v>
      </c>
      <c r="J117" s="12">
        <v>8</v>
      </c>
      <c r="K117" s="12">
        <v>9</v>
      </c>
      <c r="L117" s="12">
        <v>10</v>
      </c>
      <c r="M117" s="12">
        <v>11</v>
      </c>
      <c r="N117" s="12">
        <v>12</v>
      </c>
      <c r="O117" s="12">
        <v>13</v>
      </c>
      <c r="P117" s="12">
        <v>14</v>
      </c>
      <c r="Q117" s="12">
        <v>15</v>
      </c>
      <c r="R117" s="12">
        <v>16</v>
      </c>
      <c r="S117" s="12">
        <v>17</v>
      </c>
      <c r="T117" s="12">
        <v>18</v>
      </c>
      <c r="U117" s="12">
        <v>19</v>
      </c>
      <c r="V117" s="12">
        <v>20</v>
      </c>
      <c r="W117" s="12">
        <v>21</v>
      </c>
      <c r="X117" s="12">
        <v>22</v>
      </c>
      <c r="Y117" s="12">
        <v>23</v>
      </c>
      <c r="Z117" s="12">
        <v>24</v>
      </c>
    </row>
    <row r="118" spans="1:26" x14ac:dyDescent="0.35">
      <c r="A118" s="6" t="s">
        <v>12</v>
      </c>
      <c r="B118" s="10" t="s">
        <v>13</v>
      </c>
      <c r="C118" s="13">
        <v>1056</v>
      </c>
      <c r="D118" s="13">
        <v>936</v>
      </c>
      <c r="E118" s="13">
        <v>816</v>
      </c>
      <c r="F118" s="13">
        <v>747</v>
      </c>
      <c r="G118" s="13">
        <v>627</v>
      </c>
      <c r="H118" s="13">
        <v>658.01</v>
      </c>
      <c r="I118" s="13">
        <v>627</v>
      </c>
      <c r="J118" s="13">
        <v>707.98</v>
      </c>
      <c r="K118" s="13">
        <v>827.98</v>
      </c>
      <c r="L118" s="13">
        <v>947.98</v>
      </c>
      <c r="M118" s="13">
        <v>947.98</v>
      </c>
      <c r="N118" s="13">
        <v>945.23</v>
      </c>
      <c r="O118" s="13">
        <v>941.38</v>
      </c>
      <c r="P118" s="13">
        <v>947.98</v>
      </c>
      <c r="Q118" s="13">
        <v>947.98</v>
      </c>
      <c r="R118" s="13">
        <v>947.98</v>
      </c>
      <c r="S118" s="13">
        <v>947.98</v>
      </c>
      <c r="T118" s="13">
        <v>947.98</v>
      </c>
      <c r="U118" s="13">
        <v>947.98</v>
      </c>
      <c r="V118" s="13">
        <v>947.98</v>
      </c>
      <c r="W118" s="13">
        <v>941.38</v>
      </c>
      <c r="X118" s="13">
        <v>945.78</v>
      </c>
      <c r="Y118" s="13">
        <v>945.78</v>
      </c>
      <c r="Z118" s="13">
        <v>939.18</v>
      </c>
    </row>
    <row r="119" spans="1:26" x14ac:dyDescent="0.35">
      <c r="A119" s="6" t="s">
        <v>14</v>
      </c>
      <c r="B119" s="10" t="s">
        <v>15</v>
      </c>
      <c r="C119" s="13">
        <v>340</v>
      </c>
      <c r="D119" s="13">
        <v>340</v>
      </c>
      <c r="E119" s="13">
        <v>340</v>
      </c>
      <c r="F119" s="13">
        <v>340</v>
      </c>
      <c r="G119" s="13">
        <v>340</v>
      </c>
      <c r="H119" s="13">
        <v>340</v>
      </c>
      <c r="I119" s="13">
        <v>340</v>
      </c>
      <c r="J119" s="13">
        <v>340</v>
      </c>
      <c r="K119" s="13">
        <v>340</v>
      </c>
      <c r="L119" s="13">
        <v>340</v>
      </c>
      <c r="M119" s="13">
        <v>588.36</v>
      </c>
      <c r="N119" s="13">
        <v>340</v>
      </c>
      <c r="O119" s="13">
        <v>512.28</v>
      </c>
      <c r="P119" s="13">
        <v>417.82</v>
      </c>
      <c r="Q119" s="13">
        <v>340</v>
      </c>
      <c r="R119" s="13">
        <v>340</v>
      </c>
      <c r="S119" s="13">
        <v>340</v>
      </c>
      <c r="T119" s="13">
        <v>508.27</v>
      </c>
      <c r="U119" s="13">
        <v>340</v>
      </c>
      <c r="V119" s="13">
        <v>427.63</v>
      </c>
      <c r="W119" s="13">
        <v>340</v>
      </c>
      <c r="X119" s="13">
        <v>340</v>
      </c>
      <c r="Y119" s="13">
        <v>340</v>
      </c>
      <c r="Z119" s="13">
        <v>340</v>
      </c>
    </row>
    <row r="120" spans="1:26" x14ac:dyDescent="0.35">
      <c r="A120" s="6" t="s">
        <v>16</v>
      </c>
      <c r="B120" s="10" t="s">
        <v>17</v>
      </c>
      <c r="C120" s="13">
        <v>600</v>
      </c>
      <c r="D120" s="13">
        <v>680.66</v>
      </c>
      <c r="E120" s="13">
        <v>707.77</v>
      </c>
      <c r="F120" s="13">
        <v>630.80999999999995</v>
      </c>
      <c r="G120" s="13">
        <v>677.63</v>
      </c>
      <c r="H120" s="13">
        <v>797.63</v>
      </c>
      <c r="I120" s="13">
        <v>868.89</v>
      </c>
      <c r="J120" s="13">
        <v>781.63</v>
      </c>
      <c r="K120" s="13">
        <v>901.63</v>
      </c>
      <c r="L120" s="13">
        <v>947.98</v>
      </c>
      <c r="M120" s="13">
        <v>947.98</v>
      </c>
      <c r="N120" s="13">
        <v>945.23</v>
      </c>
      <c r="O120" s="13">
        <v>941.38</v>
      </c>
      <c r="P120" s="13">
        <v>947.98</v>
      </c>
      <c r="Q120" s="13">
        <v>947.98</v>
      </c>
      <c r="R120" s="13">
        <v>947.98</v>
      </c>
      <c r="S120" s="13">
        <v>947.98</v>
      </c>
      <c r="T120" s="13">
        <v>947.98</v>
      </c>
      <c r="U120" s="13">
        <v>947.98</v>
      </c>
      <c r="V120" s="13">
        <v>947.98</v>
      </c>
      <c r="W120" s="13">
        <v>941.38</v>
      </c>
      <c r="X120" s="13">
        <v>945.78</v>
      </c>
      <c r="Y120" s="13">
        <v>945.78</v>
      </c>
      <c r="Z120" s="13">
        <v>939.18</v>
      </c>
    </row>
    <row r="121" spans="1:26" x14ac:dyDescent="0.35">
      <c r="A121" s="6" t="s">
        <v>18</v>
      </c>
      <c r="B121" s="10" t="s">
        <v>19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</row>
    <row r="122" spans="1:26" x14ac:dyDescent="0.35">
      <c r="A122" s="6" t="s">
        <v>20</v>
      </c>
      <c r="B122" s="10" t="s">
        <v>21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</row>
    <row r="123" spans="1:26" x14ac:dyDescent="0.35">
      <c r="A123" s="6" t="s">
        <v>22</v>
      </c>
      <c r="B123" s="10" t="s">
        <v>23</v>
      </c>
      <c r="C123" s="13">
        <v>250</v>
      </c>
      <c r="D123" s="13">
        <v>250</v>
      </c>
      <c r="E123" s="13">
        <v>250</v>
      </c>
      <c r="F123" s="13">
        <v>250</v>
      </c>
      <c r="G123" s="13">
        <v>250</v>
      </c>
      <c r="H123" s="13">
        <v>250</v>
      </c>
      <c r="I123" s="13">
        <v>250</v>
      </c>
      <c r="J123" s="13">
        <v>250</v>
      </c>
      <c r="K123" s="13">
        <v>250</v>
      </c>
      <c r="L123" s="13">
        <v>262.13</v>
      </c>
      <c r="M123" s="13">
        <v>250</v>
      </c>
      <c r="N123" s="13">
        <v>338.09</v>
      </c>
      <c r="O123" s="13">
        <v>250</v>
      </c>
      <c r="P123" s="13">
        <v>550</v>
      </c>
      <c r="Q123" s="13">
        <v>486.38</v>
      </c>
      <c r="R123" s="13">
        <v>250</v>
      </c>
      <c r="S123" s="13">
        <v>250</v>
      </c>
      <c r="T123" s="13">
        <v>250</v>
      </c>
      <c r="U123" s="13">
        <v>250</v>
      </c>
      <c r="V123" s="13">
        <v>550</v>
      </c>
      <c r="W123" s="13">
        <v>250</v>
      </c>
      <c r="X123" s="13">
        <v>532.94000000000005</v>
      </c>
      <c r="Y123" s="13">
        <v>250</v>
      </c>
      <c r="Z123" s="13">
        <v>250</v>
      </c>
    </row>
    <row r="124" spans="1:26" x14ac:dyDescent="0.35">
      <c r="A124" s="6" t="s">
        <v>24</v>
      </c>
      <c r="B124" s="10" t="s">
        <v>25</v>
      </c>
      <c r="C124" s="13">
        <v>248</v>
      </c>
      <c r="D124" s="13">
        <v>248</v>
      </c>
      <c r="E124" s="13">
        <v>248</v>
      </c>
      <c r="F124" s="13">
        <v>248</v>
      </c>
      <c r="G124" s="13">
        <v>248</v>
      </c>
      <c r="H124" s="13">
        <v>248</v>
      </c>
      <c r="I124" s="13">
        <v>248</v>
      </c>
      <c r="J124" s="13">
        <v>248</v>
      </c>
      <c r="K124" s="13">
        <v>248</v>
      </c>
      <c r="L124" s="13">
        <v>248</v>
      </c>
      <c r="M124" s="13">
        <v>248</v>
      </c>
      <c r="N124" s="13">
        <v>548</v>
      </c>
      <c r="O124" s="13">
        <v>248</v>
      </c>
      <c r="P124" s="13">
        <v>248</v>
      </c>
      <c r="Q124" s="13">
        <v>548</v>
      </c>
      <c r="R124" s="13">
        <v>765.31</v>
      </c>
      <c r="S124" s="13">
        <v>619.09</v>
      </c>
      <c r="T124" s="13">
        <v>319.08999999999997</v>
      </c>
      <c r="U124" s="13">
        <v>522.61</v>
      </c>
      <c r="V124" s="13">
        <v>282.43</v>
      </c>
      <c r="W124" s="13">
        <v>582.42999999999995</v>
      </c>
      <c r="X124" s="13">
        <v>282.43</v>
      </c>
      <c r="Y124" s="13">
        <v>272.49</v>
      </c>
      <c r="Z124" s="13">
        <v>248</v>
      </c>
    </row>
    <row r="125" spans="1:26" x14ac:dyDescent="0.35">
      <c r="A125" s="6" t="s">
        <v>26</v>
      </c>
      <c r="B125" s="10" t="s">
        <v>27</v>
      </c>
      <c r="C125" s="13">
        <v>347.85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</row>
    <row r="126" spans="1:26" x14ac:dyDescent="0.35">
      <c r="A126" s="6" t="s">
        <v>28</v>
      </c>
      <c r="B126" s="10" t="s">
        <v>29</v>
      </c>
      <c r="C126" s="13">
        <v>540</v>
      </c>
      <c r="D126" s="13">
        <v>660</v>
      </c>
      <c r="E126" s="13">
        <v>540</v>
      </c>
      <c r="F126" s="13">
        <v>540</v>
      </c>
      <c r="G126" s="13">
        <v>660</v>
      </c>
      <c r="H126" s="13">
        <v>780</v>
      </c>
      <c r="I126" s="13">
        <v>870</v>
      </c>
      <c r="J126" s="13">
        <v>870</v>
      </c>
      <c r="K126" s="13">
        <v>870</v>
      </c>
      <c r="L126" s="13">
        <v>870</v>
      </c>
      <c r="M126" s="13">
        <v>870</v>
      </c>
      <c r="N126" s="13">
        <v>870</v>
      </c>
      <c r="O126" s="13">
        <v>870</v>
      </c>
      <c r="P126" s="13">
        <v>870</v>
      </c>
      <c r="Q126" s="13">
        <v>870</v>
      </c>
      <c r="R126" s="13">
        <v>870</v>
      </c>
      <c r="S126" s="13">
        <v>870</v>
      </c>
      <c r="T126" s="13">
        <v>870</v>
      </c>
      <c r="U126" s="13">
        <v>870</v>
      </c>
      <c r="V126" s="13">
        <v>870</v>
      </c>
      <c r="W126" s="13">
        <v>870</v>
      </c>
      <c r="X126" s="13">
        <v>870</v>
      </c>
      <c r="Y126" s="13">
        <v>870</v>
      </c>
      <c r="Z126" s="13">
        <v>870</v>
      </c>
    </row>
    <row r="127" spans="1:26" x14ac:dyDescent="0.35">
      <c r="A127" s="6" t="s">
        <v>30</v>
      </c>
      <c r="B127" s="10" t="s">
        <v>31</v>
      </c>
      <c r="C127" s="13">
        <v>600</v>
      </c>
      <c r="D127" s="13">
        <v>720</v>
      </c>
      <c r="E127" s="13">
        <v>840</v>
      </c>
      <c r="F127" s="13">
        <v>840</v>
      </c>
      <c r="G127" s="13">
        <v>840</v>
      </c>
      <c r="H127" s="13">
        <v>840</v>
      </c>
      <c r="I127" s="13">
        <v>840</v>
      </c>
      <c r="J127" s="13">
        <v>840</v>
      </c>
      <c r="K127" s="13">
        <v>840</v>
      </c>
      <c r="L127" s="13">
        <v>840</v>
      </c>
      <c r="M127" s="13">
        <v>840</v>
      </c>
      <c r="N127" s="13">
        <v>840</v>
      </c>
      <c r="O127" s="13">
        <v>840</v>
      </c>
      <c r="P127" s="13">
        <v>840</v>
      </c>
      <c r="Q127" s="13">
        <v>840</v>
      </c>
      <c r="R127" s="13">
        <v>840</v>
      </c>
      <c r="S127" s="13">
        <v>840</v>
      </c>
      <c r="T127" s="13">
        <v>840</v>
      </c>
      <c r="U127" s="13">
        <v>840</v>
      </c>
      <c r="V127" s="13">
        <v>840</v>
      </c>
      <c r="W127" s="13">
        <v>840</v>
      </c>
      <c r="X127" s="13">
        <v>840</v>
      </c>
      <c r="Y127" s="13">
        <v>840</v>
      </c>
      <c r="Z127" s="13">
        <v>790.09</v>
      </c>
    </row>
    <row r="128" spans="1:26" x14ac:dyDescent="0.35">
      <c r="A128" s="6" t="s">
        <v>33</v>
      </c>
      <c r="B128" s="11" t="s">
        <v>36</v>
      </c>
      <c r="C128" s="17">
        <v>-60</v>
      </c>
      <c r="D128" s="17">
        <v>0</v>
      </c>
      <c r="E128" s="17">
        <v>0</v>
      </c>
      <c r="F128" s="17">
        <v>60</v>
      </c>
      <c r="G128" s="17">
        <v>0</v>
      </c>
      <c r="H128" s="17">
        <v>5.5</v>
      </c>
      <c r="I128" s="17">
        <v>-60</v>
      </c>
      <c r="J128" s="17">
        <v>-30.24846161877349</v>
      </c>
      <c r="K128" s="17">
        <v>-54.75153838122651</v>
      </c>
      <c r="L128" s="17">
        <v>0</v>
      </c>
      <c r="M128" s="17">
        <v>0</v>
      </c>
      <c r="N128" s="17">
        <v>24.999999999999972</v>
      </c>
      <c r="O128" s="17">
        <v>60.000000000000007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60.000000000000007</v>
      </c>
      <c r="X128" s="17">
        <v>0</v>
      </c>
      <c r="Y128" s="17">
        <v>0</v>
      </c>
      <c r="Z128" s="17">
        <v>-5.5000000000000044</v>
      </c>
    </row>
    <row r="129" spans="1:26" x14ac:dyDescent="0.35">
      <c r="A129" s="6" t="s">
        <v>35</v>
      </c>
      <c r="B129" s="11" t="s">
        <v>37</v>
      </c>
      <c r="C129" s="17">
        <v>-20</v>
      </c>
      <c r="D129" s="17">
        <v>0</v>
      </c>
      <c r="E129" s="17">
        <v>0</v>
      </c>
      <c r="F129" s="17">
        <v>20</v>
      </c>
      <c r="G129" s="17">
        <v>-5.0000000000000044</v>
      </c>
      <c r="H129" s="17">
        <v>20</v>
      </c>
      <c r="I129" s="17">
        <v>-20</v>
      </c>
      <c r="J129" s="17">
        <v>-20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20</v>
      </c>
      <c r="Y129" s="17">
        <v>20.000000000000011</v>
      </c>
      <c r="Z129" s="17">
        <v>-15.000000000000011</v>
      </c>
    </row>
    <row r="130" spans="1:26" x14ac:dyDescent="0.35">
      <c r="A130" s="6" t="s">
        <v>34</v>
      </c>
      <c r="B130" s="11" t="s">
        <v>38</v>
      </c>
      <c r="C130" s="13">
        <v>323.83</v>
      </c>
      <c r="D130" s="13">
        <v>338.51</v>
      </c>
      <c r="E130" s="13">
        <v>347.43</v>
      </c>
      <c r="F130" s="13">
        <v>333.57</v>
      </c>
      <c r="G130" s="13">
        <v>371.75</v>
      </c>
      <c r="H130" s="13">
        <v>272.38</v>
      </c>
      <c r="I130" s="13">
        <v>309.17</v>
      </c>
      <c r="J130" s="13">
        <v>237.33</v>
      </c>
      <c r="K130" s="13">
        <v>308.58999999999997</v>
      </c>
      <c r="L130" s="13">
        <v>390.99</v>
      </c>
      <c r="M130" s="13">
        <v>288.67</v>
      </c>
      <c r="N130" s="13">
        <v>180.56</v>
      </c>
      <c r="O130" s="13">
        <v>118.54</v>
      </c>
      <c r="P130" s="13">
        <v>134.03</v>
      </c>
      <c r="Q130" s="13">
        <v>127.09</v>
      </c>
      <c r="R130" s="13">
        <v>101.32</v>
      </c>
      <c r="S130" s="13">
        <v>185.4</v>
      </c>
      <c r="T130" s="13">
        <v>217.23</v>
      </c>
      <c r="U130" s="13">
        <v>233.7</v>
      </c>
      <c r="V130" s="13">
        <v>266.38</v>
      </c>
      <c r="W130" s="13">
        <v>255.5</v>
      </c>
      <c r="X130" s="13">
        <v>197.37</v>
      </c>
      <c r="Y130" s="13">
        <v>219.46</v>
      </c>
      <c r="Z130" s="13">
        <v>140.31</v>
      </c>
    </row>
  </sheetData>
  <mergeCells count="14">
    <mergeCell ref="A2:B3"/>
    <mergeCell ref="C2:Z2"/>
    <mergeCell ref="A21:B22"/>
    <mergeCell ref="C21:Z21"/>
    <mergeCell ref="A40:B41"/>
    <mergeCell ref="C40:Z40"/>
    <mergeCell ref="A116:B117"/>
    <mergeCell ref="C116:Z116"/>
    <mergeCell ref="A59:B60"/>
    <mergeCell ref="C59:Z59"/>
    <mergeCell ref="A78:B79"/>
    <mergeCell ref="C78:Z78"/>
    <mergeCell ref="A97:B98"/>
    <mergeCell ref="C97:Z97"/>
  </mergeCells>
  <conditionalFormatting sqref="C4:Z16">
    <cfRule type="cellIs" dxfId="39" priority="11" operator="equal">
      <formula>0</formula>
    </cfRule>
  </conditionalFormatting>
  <conditionalFormatting sqref="C23:Z35">
    <cfRule type="cellIs" dxfId="38" priority="10" operator="equal">
      <formula>0</formula>
    </cfRule>
  </conditionalFormatting>
  <conditionalFormatting sqref="C42:Z54">
    <cfRule type="cellIs" dxfId="37" priority="9" operator="equal">
      <formula>0</formula>
    </cfRule>
  </conditionalFormatting>
  <conditionalFormatting sqref="C61:Z73">
    <cfRule type="cellIs" dxfId="36" priority="7" operator="equal">
      <formula>0</formula>
    </cfRule>
  </conditionalFormatting>
  <conditionalFormatting sqref="C80:Z92">
    <cfRule type="cellIs" dxfId="35" priority="5" operator="equal">
      <formula>0</formula>
    </cfRule>
  </conditionalFormatting>
  <conditionalFormatting sqref="C99:Z111">
    <cfRule type="cellIs" dxfId="34" priority="3" operator="equal">
      <formula>0</formula>
    </cfRule>
  </conditionalFormatting>
  <conditionalFormatting sqref="C118:Z130">
    <cfRule type="cellIs" dxfId="33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5FB9-56F2-4EBE-8FDA-F441D4CA40A7}">
  <dimension ref="A1:AZ60"/>
  <sheetViews>
    <sheetView topLeftCell="T51" zoomScaleNormal="100" workbookViewId="0">
      <selection activeCell="Z65" sqref="Z65"/>
    </sheetView>
  </sheetViews>
  <sheetFormatPr defaultRowHeight="14.5" x14ac:dyDescent="0.35"/>
  <cols>
    <col min="1" max="1" width="8.6328125" customWidth="1"/>
    <col min="2" max="2" width="7.81640625" bestFit="1" customWidth="1"/>
    <col min="3" max="25" width="6.6328125" customWidth="1"/>
    <col min="29" max="29" width="7.81640625" bestFit="1" customWidth="1"/>
    <col min="30" max="52" width="6.6328125" customWidth="1"/>
  </cols>
  <sheetData>
    <row r="1" spans="1:52" x14ac:dyDescent="0.35">
      <c r="A1" t="s">
        <v>7</v>
      </c>
      <c r="AB1" t="s">
        <v>39</v>
      </c>
    </row>
    <row r="2" spans="1:52" x14ac:dyDescent="0.35">
      <c r="A2" s="23" t="s">
        <v>40</v>
      </c>
      <c r="B2" s="22" t="s">
        <v>10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AB2" s="21" t="s">
        <v>0</v>
      </c>
      <c r="AC2" s="22" t="s">
        <v>10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</row>
    <row r="3" spans="1:52" x14ac:dyDescent="0.35">
      <c r="A3" s="23"/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AB3" s="21"/>
      <c r="AC3" s="12">
        <v>1</v>
      </c>
      <c r="AD3" s="12">
        <v>2</v>
      </c>
      <c r="AE3" s="12">
        <v>3</v>
      </c>
      <c r="AF3" s="12">
        <v>4</v>
      </c>
      <c r="AG3" s="12">
        <v>5</v>
      </c>
      <c r="AH3" s="12">
        <v>6</v>
      </c>
      <c r="AI3" s="12">
        <v>7</v>
      </c>
      <c r="AJ3" s="12">
        <v>8</v>
      </c>
      <c r="AK3" s="12">
        <v>9</v>
      </c>
      <c r="AL3" s="12">
        <v>10</v>
      </c>
      <c r="AM3" s="12">
        <v>11</v>
      </c>
      <c r="AN3" s="12">
        <v>12</v>
      </c>
      <c r="AO3" s="12">
        <v>13</v>
      </c>
      <c r="AP3" s="12">
        <v>14</v>
      </c>
      <c r="AQ3" s="12">
        <v>15</v>
      </c>
      <c r="AR3" s="12">
        <v>16</v>
      </c>
      <c r="AS3" s="12">
        <v>17</v>
      </c>
      <c r="AT3" s="12">
        <v>18</v>
      </c>
      <c r="AU3" s="12">
        <v>19</v>
      </c>
      <c r="AV3" s="12">
        <v>20</v>
      </c>
      <c r="AW3" s="12">
        <v>21</v>
      </c>
      <c r="AX3" s="12">
        <v>22</v>
      </c>
      <c r="AY3" s="12">
        <v>23</v>
      </c>
      <c r="AZ3" s="12">
        <v>24</v>
      </c>
    </row>
    <row r="4" spans="1:52" x14ac:dyDescent="0.35">
      <c r="A4" s="13" t="s">
        <v>39</v>
      </c>
      <c r="B4" s="13">
        <v>32565</v>
      </c>
      <c r="C4" s="13">
        <v>32565</v>
      </c>
      <c r="D4" s="13">
        <v>32565</v>
      </c>
      <c r="E4" s="13">
        <v>32565</v>
      </c>
      <c r="F4" s="13">
        <v>32565</v>
      </c>
      <c r="G4" s="13">
        <v>32565</v>
      </c>
      <c r="H4" s="13">
        <v>32565</v>
      </c>
      <c r="I4" s="13">
        <v>32565</v>
      </c>
      <c r="J4" s="13">
        <v>32565</v>
      </c>
      <c r="K4" s="13">
        <v>39522</v>
      </c>
      <c r="L4" s="13">
        <v>39522</v>
      </c>
      <c r="M4" s="13">
        <v>39522</v>
      </c>
      <c r="N4" s="13">
        <v>39522</v>
      </c>
      <c r="O4" s="13">
        <v>39522</v>
      </c>
      <c r="P4" s="13">
        <v>39522</v>
      </c>
      <c r="Q4" s="13">
        <v>39522</v>
      </c>
      <c r="R4" s="13">
        <v>39522</v>
      </c>
      <c r="S4" s="13">
        <v>39522</v>
      </c>
      <c r="T4" s="13">
        <v>39522</v>
      </c>
      <c r="U4" s="13">
        <v>39522</v>
      </c>
      <c r="V4" s="13">
        <v>39522</v>
      </c>
      <c r="W4" s="13">
        <v>39522</v>
      </c>
      <c r="X4" s="13">
        <v>39522</v>
      </c>
      <c r="Y4" s="13">
        <v>32565</v>
      </c>
      <c r="AB4" s="12" t="s">
        <v>7</v>
      </c>
      <c r="AC4" s="13">
        <f>B4</f>
        <v>32565</v>
      </c>
      <c r="AD4" s="13">
        <f t="shared" ref="AD4:AZ4" si="0">C4</f>
        <v>32565</v>
      </c>
      <c r="AE4" s="13">
        <f t="shared" si="0"/>
        <v>32565</v>
      </c>
      <c r="AF4" s="13">
        <f t="shared" si="0"/>
        <v>32565</v>
      </c>
      <c r="AG4" s="13">
        <f t="shared" si="0"/>
        <v>32565</v>
      </c>
      <c r="AH4" s="13">
        <f t="shared" si="0"/>
        <v>32565</v>
      </c>
      <c r="AI4" s="13">
        <f t="shared" si="0"/>
        <v>32565</v>
      </c>
      <c r="AJ4" s="13">
        <f t="shared" si="0"/>
        <v>32565</v>
      </c>
      <c r="AK4" s="13">
        <f t="shared" si="0"/>
        <v>32565</v>
      </c>
      <c r="AL4" s="13">
        <f t="shared" si="0"/>
        <v>39522</v>
      </c>
      <c r="AM4" s="13">
        <f t="shared" si="0"/>
        <v>39522</v>
      </c>
      <c r="AN4" s="13">
        <f t="shared" si="0"/>
        <v>39522</v>
      </c>
      <c r="AO4" s="13">
        <f t="shared" si="0"/>
        <v>39522</v>
      </c>
      <c r="AP4" s="13">
        <f t="shared" si="0"/>
        <v>39522</v>
      </c>
      <c r="AQ4" s="13">
        <f t="shared" si="0"/>
        <v>39522</v>
      </c>
      <c r="AR4" s="13">
        <f t="shared" si="0"/>
        <v>39522</v>
      </c>
      <c r="AS4" s="13">
        <f t="shared" si="0"/>
        <v>39522</v>
      </c>
      <c r="AT4" s="13">
        <f t="shared" si="0"/>
        <v>39522</v>
      </c>
      <c r="AU4" s="13">
        <f t="shared" si="0"/>
        <v>39522</v>
      </c>
      <c r="AV4" s="13">
        <f t="shared" si="0"/>
        <v>39522</v>
      </c>
      <c r="AW4" s="13">
        <f t="shared" si="0"/>
        <v>39522</v>
      </c>
      <c r="AX4" s="13">
        <f t="shared" si="0"/>
        <v>39522</v>
      </c>
      <c r="AY4" s="13">
        <f t="shared" si="0"/>
        <v>39522</v>
      </c>
      <c r="AZ4" s="13">
        <f t="shared" si="0"/>
        <v>32565</v>
      </c>
    </row>
    <row r="5" spans="1:52" x14ac:dyDescent="0.35">
      <c r="A5" s="13" t="s">
        <v>32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AB5" s="12" t="s">
        <v>49</v>
      </c>
      <c r="AC5" s="13">
        <f>B13</f>
        <v>35400</v>
      </c>
      <c r="AD5" s="13">
        <f t="shared" ref="AD5:AZ5" si="1">C13</f>
        <v>35400</v>
      </c>
      <c r="AE5" s="13">
        <f t="shared" si="1"/>
        <v>35400</v>
      </c>
      <c r="AF5" s="13">
        <f t="shared" si="1"/>
        <v>35400</v>
      </c>
      <c r="AG5" s="13">
        <f t="shared" si="1"/>
        <v>35400</v>
      </c>
      <c r="AH5" s="13">
        <f t="shared" si="1"/>
        <v>35400</v>
      </c>
      <c r="AI5" s="13">
        <f t="shared" si="1"/>
        <v>35400</v>
      </c>
      <c r="AJ5" s="13">
        <f t="shared" si="1"/>
        <v>35400</v>
      </c>
      <c r="AK5" s="13">
        <f t="shared" si="1"/>
        <v>35400</v>
      </c>
      <c r="AL5" s="13">
        <f t="shared" si="1"/>
        <v>35400</v>
      </c>
      <c r="AM5" s="13">
        <f t="shared" si="1"/>
        <v>36180</v>
      </c>
      <c r="AN5" s="13">
        <f t="shared" si="1"/>
        <v>36180</v>
      </c>
      <c r="AO5" s="13">
        <f t="shared" si="1"/>
        <v>36180</v>
      </c>
      <c r="AP5" s="13">
        <f t="shared" si="1"/>
        <v>36180</v>
      </c>
      <c r="AQ5" s="13">
        <f t="shared" si="1"/>
        <v>36180</v>
      </c>
      <c r="AR5" s="13">
        <f t="shared" si="1"/>
        <v>36180</v>
      </c>
      <c r="AS5" s="13">
        <f t="shared" si="1"/>
        <v>36180</v>
      </c>
      <c r="AT5" s="13">
        <f t="shared" si="1"/>
        <v>36180</v>
      </c>
      <c r="AU5" s="13">
        <f t="shared" si="1"/>
        <v>36828</v>
      </c>
      <c r="AV5" s="13">
        <f t="shared" si="1"/>
        <v>36828</v>
      </c>
      <c r="AW5" s="13">
        <f t="shared" si="1"/>
        <v>36180</v>
      </c>
      <c r="AX5" s="13">
        <f t="shared" si="1"/>
        <v>36180</v>
      </c>
      <c r="AY5" s="13">
        <f t="shared" si="1"/>
        <v>35400</v>
      </c>
      <c r="AZ5" s="13">
        <f t="shared" si="1"/>
        <v>35400</v>
      </c>
    </row>
    <row r="6" spans="1:52" x14ac:dyDescent="0.35">
      <c r="A6" s="13" t="s">
        <v>34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AB6" s="12" t="s">
        <v>51</v>
      </c>
      <c r="AC6" s="13">
        <f>B22</f>
        <v>35400</v>
      </c>
      <c r="AD6" s="13">
        <f t="shared" ref="AD6:AZ6" si="2">C22</f>
        <v>35400</v>
      </c>
      <c r="AE6" s="13">
        <f t="shared" si="2"/>
        <v>35400</v>
      </c>
      <c r="AF6" s="13">
        <f t="shared" si="2"/>
        <v>35400</v>
      </c>
      <c r="AG6" s="13">
        <f t="shared" si="2"/>
        <v>35400</v>
      </c>
      <c r="AH6" s="13">
        <f t="shared" si="2"/>
        <v>35400</v>
      </c>
      <c r="AI6" s="13">
        <f t="shared" si="2"/>
        <v>35400</v>
      </c>
      <c r="AJ6" s="13">
        <f t="shared" si="2"/>
        <v>35400</v>
      </c>
      <c r="AK6" s="13">
        <f t="shared" si="2"/>
        <v>35400</v>
      </c>
      <c r="AL6" s="13">
        <f t="shared" si="2"/>
        <v>35400</v>
      </c>
      <c r="AM6" s="13">
        <f t="shared" si="2"/>
        <v>35400</v>
      </c>
      <c r="AN6" s="13">
        <f t="shared" si="2"/>
        <v>35400</v>
      </c>
      <c r="AO6" s="13">
        <f t="shared" si="2"/>
        <v>35400</v>
      </c>
      <c r="AP6" s="13">
        <f t="shared" si="2"/>
        <v>35400</v>
      </c>
      <c r="AQ6" s="13">
        <f t="shared" si="2"/>
        <v>36048</v>
      </c>
      <c r="AR6" s="13">
        <f t="shared" si="2"/>
        <v>36048</v>
      </c>
      <c r="AS6" s="13">
        <f t="shared" si="2"/>
        <v>35400</v>
      </c>
      <c r="AT6" s="13">
        <f t="shared" si="2"/>
        <v>35400</v>
      </c>
      <c r="AU6" s="13">
        <f t="shared" si="2"/>
        <v>35400</v>
      </c>
      <c r="AV6" s="13">
        <f t="shared" si="2"/>
        <v>35400</v>
      </c>
      <c r="AW6" s="13">
        <f t="shared" si="2"/>
        <v>35400</v>
      </c>
      <c r="AX6" s="13">
        <f t="shared" si="2"/>
        <v>35400</v>
      </c>
      <c r="AY6" s="13">
        <f t="shared" si="2"/>
        <v>35400</v>
      </c>
      <c r="AZ6" s="13">
        <f t="shared" si="2"/>
        <v>35400</v>
      </c>
    </row>
    <row r="7" spans="1:52" x14ac:dyDescent="0.35">
      <c r="AB7" s="12" t="s">
        <v>53</v>
      </c>
      <c r="AC7" s="13">
        <f>B31</f>
        <v>49647</v>
      </c>
      <c r="AD7" s="13">
        <f t="shared" ref="AD7:AZ7" si="3">C31</f>
        <v>42690</v>
      </c>
      <c r="AE7" s="13">
        <f t="shared" si="3"/>
        <v>42690</v>
      </c>
      <c r="AF7" s="13">
        <f t="shared" si="3"/>
        <v>42690</v>
      </c>
      <c r="AG7" s="13">
        <f t="shared" si="3"/>
        <v>42690</v>
      </c>
      <c r="AH7" s="13">
        <f t="shared" si="3"/>
        <v>42690</v>
      </c>
      <c r="AI7" s="13">
        <f t="shared" si="3"/>
        <v>42690</v>
      </c>
      <c r="AJ7" s="13">
        <f t="shared" si="3"/>
        <v>42690</v>
      </c>
      <c r="AK7" s="13">
        <f t="shared" si="3"/>
        <v>42690</v>
      </c>
      <c r="AL7" s="13">
        <f t="shared" si="3"/>
        <v>42690</v>
      </c>
      <c r="AM7" s="13">
        <f t="shared" si="3"/>
        <v>42690</v>
      </c>
      <c r="AN7" s="13">
        <f t="shared" si="3"/>
        <v>42690</v>
      </c>
      <c r="AO7" s="13">
        <f t="shared" si="3"/>
        <v>42690</v>
      </c>
      <c r="AP7" s="13">
        <f t="shared" si="3"/>
        <v>42690</v>
      </c>
      <c r="AQ7" s="13">
        <f t="shared" si="3"/>
        <v>42690</v>
      </c>
      <c r="AR7" s="13">
        <f t="shared" si="3"/>
        <v>42690</v>
      </c>
      <c r="AS7" s="13">
        <f t="shared" si="3"/>
        <v>42690</v>
      </c>
      <c r="AT7" s="13">
        <f t="shared" si="3"/>
        <v>42690</v>
      </c>
      <c r="AU7" s="13">
        <f t="shared" si="3"/>
        <v>42690</v>
      </c>
      <c r="AV7" s="13">
        <f t="shared" si="3"/>
        <v>42690</v>
      </c>
      <c r="AW7" s="13">
        <f t="shared" si="3"/>
        <v>42690</v>
      </c>
      <c r="AX7" s="13">
        <f t="shared" si="3"/>
        <v>42690</v>
      </c>
      <c r="AY7" s="13">
        <f t="shared" si="3"/>
        <v>42690</v>
      </c>
      <c r="AZ7" s="13">
        <f t="shared" si="3"/>
        <v>42690</v>
      </c>
    </row>
    <row r="8" spans="1:52" x14ac:dyDescent="0.35">
      <c r="AB8" s="12" t="s">
        <v>55</v>
      </c>
      <c r="AC8" s="13">
        <f>B40</f>
        <v>49647</v>
      </c>
      <c r="AD8" s="13">
        <f t="shared" ref="AD8:AZ8" si="4">C40</f>
        <v>42690</v>
      </c>
      <c r="AE8" s="13">
        <f t="shared" si="4"/>
        <v>42690</v>
      </c>
      <c r="AF8" s="13">
        <f t="shared" si="4"/>
        <v>42690</v>
      </c>
      <c r="AG8" s="13">
        <f t="shared" si="4"/>
        <v>42690</v>
      </c>
      <c r="AH8" s="13">
        <f t="shared" si="4"/>
        <v>42690</v>
      </c>
      <c r="AI8" s="13">
        <f t="shared" si="4"/>
        <v>42690</v>
      </c>
      <c r="AJ8" s="13">
        <f t="shared" si="4"/>
        <v>42690</v>
      </c>
      <c r="AK8" s="13">
        <f t="shared" si="4"/>
        <v>42690</v>
      </c>
      <c r="AL8" s="13">
        <f t="shared" si="4"/>
        <v>42690</v>
      </c>
      <c r="AM8" s="13">
        <f t="shared" si="4"/>
        <v>42690</v>
      </c>
      <c r="AN8" s="13">
        <f t="shared" si="4"/>
        <v>42690</v>
      </c>
      <c r="AO8" s="13">
        <f t="shared" si="4"/>
        <v>42690</v>
      </c>
      <c r="AP8" s="13">
        <f t="shared" si="4"/>
        <v>42690</v>
      </c>
      <c r="AQ8" s="13">
        <f t="shared" si="4"/>
        <v>42690</v>
      </c>
      <c r="AR8" s="13">
        <f t="shared" si="4"/>
        <v>42690</v>
      </c>
      <c r="AS8" s="13">
        <f t="shared" si="4"/>
        <v>42690</v>
      </c>
      <c r="AT8" s="13">
        <f t="shared" si="4"/>
        <v>42690</v>
      </c>
      <c r="AU8" s="13">
        <f t="shared" si="4"/>
        <v>42690</v>
      </c>
      <c r="AV8" s="13">
        <f t="shared" si="4"/>
        <v>42690</v>
      </c>
      <c r="AW8" s="13">
        <f t="shared" si="4"/>
        <v>42690</v>
      </c>
      <c r="AX8" s="13">
        <f t="shared" si="4"/>
        <v>42690</v>
      </c>
      <c r="AY8" s="13">
        <f t="shared" si="4"/>
        <v>42690</v>
      </c>
      <c r="AZ8" s="13">
        <f t="shared" si="4"/>
        <v>42690</v>
      </c>
    </row>
    <row r="9" spans="1:52" x14ac:dyDescent="0.35">
      <c r="AB9" s="12" t="s">
        <v>57</v>
      </c>
      <c r="AC9" s="13">
        <f>B49</f>
        <v>49647</v>
      </c>
      <c r="AD9" s="13">
        <f t="shared" ref="AD9:AZ9" si="5">C49</f>
        <v>42690</v>
      </c>
      <c r="AE9" s="13">
        <f t="shared" si="5"/>
        <v>42690</v>
      </c>
      <c r="AF9" s="13">
        <f t="shared" si="5"/>
        <v>42690</v>
      </c>
      <c r="AG9" s="13">
        <f t="shared" si="5"/>
        <v>42690</v>
      </c>
      <c r="AH9" s="13">
        <f t="shared" si="5"/>
        <v>42690</v>
      </c>
      <c r="AI9" s="13">
        <f t="shared" si="5"/>
        <v>42690</v>
      </c>
      <c r="AJ9" s="13">
        <f t="shared" si="5"/>
        <v>42690</v>
      </c>
      <c r="AK9" s="13">
        <f t="shared" si="5"/>
        <v>42690</v>
      </c>
      <c r="AL9" s="13">
        <f t="shared" si="5"/>
        <v>42690</v>
      </c>
      <c r="AM9" s="13">
        <f t="shared" si="5"/>
        <v>42690</v>
      </c>
      <c r="AN9" s="13">
        <f t="shared" si="5"/>
        <v>42690</v>
      </c>
      <c r="AO9" s="13">
        <f t="shared" si="5"/>
        <v>42690</v>
      </c>
      <c r="AP9" s="13">
        <f t="shared" si="5"/>
        <v>42690</v>
      </c>
      <c r="AQ9" s="13">
        <f t="shared" si="5"/>
        <v>42690</v>
      </c>
      <c r="AR9" s="13">
        <f t="shared" si="5"/>
        <v>42690</v>
      </c>
      <c r="AS9" s="13">
        <f t="shared" si="5"/>
        <v>42690</v>
      </c>
      <c r="AT9" s="13">
        <f t="shared" si="5"/>
        <v>42690</v>
      </c>
      <c r="AU9" s="13">
        <f t="shared" si="5"/>
        <v>42690</v>
      </c>
      <c r="AV9" s="13">
        <f t="shared" si="5"/>
        <v>42690</v>
      </c>
      <c r="AW9" s="13">
        <f t="shared" si="5"/>
        <v>42690</v>
      </c>
      <c r="AX9" s="13">
        <f t="shared" si="5"/>
        <v>42690</v>
      </c>
      <c r="AY9" s="13">
        <f t="shared" si="5"/>
        <v>42690</v>
      </c>
      <c r="AZ9" s="13">
        <f t="shared" si="5"/>
        <v>42690</v>
      </c>
    </row>
    <row r="10" spans="1:52" x14ac:dyDescent="0.35">
      <c r="A10" t="s">
        <v>49</v>
      </c>
      <c r="AB10" s="12" t="s">
        <v>59</v>
      </c>
      <c r="AC10" s="13">
        <f>B58</f>
        <v>49647</v>
      </c>
      <c r="AD10" s="13">
        <f t="shared" ref="AD10:AZ10" si="6">C58</f>
        <v>42690</v>
      </c>
      <c r="AE10" s="13">
        <f t="shared" si="6"/>
        <v>42690</v>
      </c>
      <c r="AF10" s="13">
        <f t="shared" si="6"/>
        <v>42690</v>
      </c>
      <c r="AG10" s="13">
        <f t="shared" si="6"/>
        <v>42690</v>
      </c>
      <c r="AH10" s="13">
        <f t="shared" si="6"/>
        <v>42690</v>
      </c>
      <c r="AI10" s="13">
        <f t="shared" si="6"/>
        <v>42690</v>
      </c>
      <c r="AJ10" s="13">
        <f t="shared" si="6"/>
        <v>42690</v>
      </c>
      <c r="AK10" s="13">
        <f t="shared" si="6"/>
        <v>42690</v>
      </c>
      <c r="AL10" s="13">
        <f t="shared" si="6"/>
        <v>42690</v>
      </c>
      <c r="AM10" s="13">
        <f t="shared" si="6"/>
        <v>42690</v>
      </c>
      <c r="AN10" s="13">
        <f t="shared" si="6"/>
        <v>42690</v>
      </c>
      <c r="AO10" s="13">
        <f t="shared" si="6"/>
        <v>42690</v>
      </c>
      <c r="AP10" s="13">
        <f t="shared" si="6"/>
        <v>42690</v>
      </c>
      <c r="AQ10" s="13">
        <f t="shared" si="6"/>
        <v>42690</v>
      </c>
      <c r="AR10" s="13">
        <f t="shared" si="6"/>
        <v>42690</v>
      </c>
      <c r="AS10" s="13">
        <f t="shared" si="6"/>
        <v>42690</v>
      </c>
      <c r="AT10" s="13">
        <f t="shared" si="6"/>
        <v>42690</v>
      </c>
      <c r="AU10" s="13">
        <f t="shared" si="6"/>
        <v>42690</v>
      </c>
      <c r="AV10" s="13">
        <f t="shared" si="6"/>
        <v>42690</v>
      </c>
      <c r="AW10" s="13">
        <f t="shared" si="6"/>
        <v>42690</v>
      </c>
      <c r="AX10" s="13">
        <f t="shared" si="6"/>
        <v>42690</v>
      </c>
      <c r="AY10" s="13">
        <f t="shared" si="6"/>
        <v>42690</v>
      </c>
      <c r="AZ10" s="13">
        <f t="shared" si="6"/>
        <v>42690</v>
      </c>
    </row>
    <row r="11" spans="1:52" x14ac:dyDescent="0.35">
      <c r="A11" s="23" t="s">
        <v>40</v>
      </c>
      <c r="B11" s="22" t="s">
        <v>10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52" x14ac:dyDescent="0.35">
      <c r="A12" s="23"/>
      <c r="B12" s="12">
        <v>1</v>
      </c>
      <c r="C12" s="12">
        <v>2</v>
      </c>
      <c r="D12" s="12">
        <v>3</v>
      </c>
      <c r="E12" s="12">
        <v>4</v>
      </c>
      <c r="F12" s="12">
        <v>5</v>
      </c>
      <c r="G12" s="12">
        <v>6</v>
      </c>
      <c r="H12" s="12">
        <v>7</v>
      </c>
      <c r="I12" s="12">
        <v>8</v>
      </c>
      <c r="J12" s="12">
        <v>9</v>
      </c>
      <c r="K12" s="12">
        <v>10</v>
      </c>
      <c r="L12" s="12">
        <v>11</v>
      </c>
      <c r="M12" s="12">
        <v>12</v>
      </c>
      <c r="N12" s="12">
        <v>13</v>
      </c>
      <c r="O12" s="12">
        <v>14</v>
      </c>
      <c r="P12" s="12">
        <v>15</v>
      </c>
      <c r="Q12" s="12">
        <v>16</v>
      </c>
      <c r="R12" s="12">
        <v>17</v>
      </c>
      <c r="S12" s="12">
        <v>18</v>
      </c>
      <c r="T12" s="12">
        <v>19</v>
      </c>
      <c r="U12" s="12">
        <v>20</v>
      </c>
      <c r="V12" s="12">
        <v>21</v>
      </c>
      <c r="W12" s="12">
        <v>22</v>
      </c>
      <c r="X12" s="12">
        <v>23</v>
      </c>
      <c r="Y12" s="12">
        <v>24</v>
      </c>
    </row>
    <row r="13" spans="1:52" x14ac:dyDescent="0.35">
      <c r="A13" s="13" t="s">
        <v>39</v>
      </c>
      <c r="B13" s="13">
        <v>35400</v>
      </c>
      <c r="C13" s="13">
        <v>35400</v>
      </c>
      <c r="D13" s="13">
        <v>35400</v>
      </c>
      <c r="E13" s="13">
        <v>35400</v>
      </c>
      <c r="F13" s="13">
        <v>35400</v>
      </c>
      <c r="G13" s="13">
        <v>35400</v>
      </c>
      <c r="H13" s="13">
        <v>35400</v>
      </c>
      <c r="I13" s="13">
        <v>35400</v>
      </c>
      <c r="J13" s="13">
        <v>35400</v>
      </c>
      <c r="K13" s="13">
        <v>35400</v>
      </c>
      <c r="L13" s="13">
        <v>36180</v>
      </c>
      <c r="M13" s="13">
        <v>36180</v>
      </c>
      <c r="N13" s="13">
        <v>36180</v>
      </c>
      <c r="O13" s="13">
        <v>36180</v>
      </c>
      <c r="P13" s="13">
        <v>36180</v>
      </c>
      <c r="Q13" s="13">
        <v>36180</v>
      </c>
      <c r="R13" s="13">
        <v>36180</v>
      </c>
      <c r="S13" s="13">
        <v>36180</v>
      </c>
      <c r="T13" s="13">
        <v>36828</v>
      </c>
      <c r="U13" s="13">
        <v>36828</v>
      </c>
      <c r="V13" s="13">
        <v>36180</v>
      </c>
      <c r="W13" s="13">
        <v>36180</v>
      </c>
      <c r="X13" s="13">
        <v>35400</v>
      </c>
      <c r="Y13" s="13">
        <v>35400</v>
      </c>
      <c r="AB13" t="s">
        <v>32</v>
      </c>
    </row>
    <row r="14" spans="1:52" x14ac:dyDescent="0.35">
      <c r="A14" s="13" t="s">
        <v>32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AB14" s="21" t="s">
        <v>0</v>
      </c>
      <c r="AC14" s="22" t="s">
        <v>10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</row>
    <row r="15" spans="1:52" x14ac:dyDescent="0.35">
      <c r="A15" s="13" t="s">
        <v>34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AB15" s="21"/>
      <c r="AC15" s="12">
        <v>1</v>
      </c>
      <c r="AD15" s="12">
        <v>2</v>
      </c>
      <c r="AE15" s="12">
        <v>3</v>
      </c>
      <c r="AF15" s="12">
        <v>4</v>
      </c>
      <c r="AG15" s="12">
        <v>5</v>
      </c>
      <c r="AH15" s="12">
        <v>6</v>
      </c>
      <c r="AI15" s="12">
        <v>7</v>
      </c>
      <c r="AJ15" s="12">
        <v>8</v>
      </c>
      <c r="AK15" s="12">
        <v>9</v>
      </c>
      <c r="AL15" s="12">
        <v>10</v>
      </c>
      <c r="AM15" s="12">
        <v>11</v>
      </c>
      <c r="AN15" s="12">
        <v>12</v>
      </c>
      <c r="AO15" s="12">
        <v>13</v>
      </c>
      <c r="AP15" s="12">
        <v>14</v>
      </c>
      <c r="AQ15" s="12">
        <v>15</v>
      </c>
      <c r="AR15" s="12">
        <v>16</v>
      </c>
      <c r="AS15" s="12">
        <v>17</v>
      </c>
      <c r="AT15" s="12">
        <v>18</v>
      </c>
      <c r="AU15" s="12">
        <v>19</v>
      </c>
      <c r="AV15" s="12">
        <v>20</v>
      </c>
      <c r="AW15" s="12">
        <v>21</v>
      </c>
      <c r="AX15" s="12">
        <v>22</v>
      </c>
      <c r="AY15" s="12">
        <v>23</v>
      </c>
      <c r="AZ15" s="12">
        <v>24</v>
      </c>
    </row>
    <row r="16" spans="1:52" x14ac:dyDescent="0.35">
      <c r="AB16" s="12" t="s">
        <v>7</v>
      </c>
      <c r="AC16" s="13">
        <f>B5</f>
        <v>0</v>
      </c>
      <c r="AD16" s="13">
        <f t="shared" ref="AD16:AZ16" si="7">C5</f>
        <v>0</v>
      </c>
      <c r="AE16" s="13">
        <f t="shared" si="7"/>
        <v>0</v>
      </c>
      <c r="AF16" s="13">
        <f t="shared" si="7"/>
        <v>0</v>
      </c>
      <c r="AG16" s="13">
        <f t="shared" si="7"/>
        <v>0</v>
      </c>
      <c r="AH16" s="13">
        <f t="shared" si="7"/>
        <v>0</v>
      </c>
      <c r="AI16" s="13">
        <f t="shared" si="7"/>
        <v>0</v>
      </c>
      <c r="AJ16" s="13">
        <f t="shared" si="7"/>
        <v>0</v>
      </c>
      <c r="AK16" s="13">
        <f t="shared" si="7"/>
        <v>0</v>
      </c>
      <c r="AL16" s="13">
        <f t="shared" si="7"/>
        <v>0</v>
      </c>
      <c r="AM16" s="13">
        <f t="shared" si="7"/>
        <v>0</v>
      </c>
      <c r="AN16" s="13">
        <f t="shared" si="7"/>
        <v>0</v>
      </c>
      <c r="AO16" s="13">
        <f t="shared" si="7"/>
        <v>0</v>
      </c>
      <c r="AP16" s="13">
        <f t="shared" si="7"/>
        <v>0</v>
      </c>
      <c r="AQ16" s="13">
        <f t="shared" si="7"/>
        <v>0</v>
      </c>
      <c r="AR16" s="13">
        <f t="shared" si="7"/>
        <v>0</v>
      </c>
      <c r="AS16" s="13">
        <f t="shared" si="7"/>
        <v>0</v>
      </c>
      <c r="AT16" s="13">
        <f t="shared" si="7"/>
        <v>0</v>
      </c>
      <c r="AU16" s="13">
        <f t="shared" si="7"/>
        <v>0</v>
      </c>
      <c r="AV16" s="13">
        <f t="shared" si="7"/>
        <v>0</v>
      </c>
      <c r="AW16" s="13">
        <f t="shared" si="7"/>
        <v>0</v>
      </c>
      <c r="AX16" s="13">
        <f t="shared" si="7"/>
        <v>0</v>
      </c>
      <c r="AY16" s="13">
        <f t="shared" si="7"/>
        <v>0</v>
      </c>
      <c r="AZ16" s="13">
        <f t="shared" si="7"/>
        <v>0</v>
      </c>
    </row>
    <row r="17" spans="1:52" x14ac:dyDescent="0.35">
      <c r="AB17" s="12" t="s">
        <v>49</v>
      </c>
      <c r="AC17" s="13">
        <f>B14</f>
        <v>0</v>
      </c>
      <c r="AD17" s="13">
        <f t="shared" ref="AD17:AZ17" si="8">C14</f>
        <v>0</v>
      </c>
      <c r="AE17" s="13">
        <f t="shared" si="8"/>
        <v>0</v>
      </c>
      <c r="AF17" s="13">
        <f t="shared" si="8"/>
        <v>0</v>
      </c>
      <c r="AG17" s="13">
        <f t="shared" si="8"/>
        <v>0</v>
      </c>
      <c r="AH17" s="13">
        <f t="shared" si="8"/>
        <v>0</v>
      </c>
      <c r="AI17" s="13">
        <f t="shared" si="8"/>
        <v>0</v>
      </c>
      <c r="AJ17" s="13">
        <f t="shared" si="8"/>
        <v>0</v>
      </c>
      <c r="AK17" s="13">
        <f t="shared" si="8"/>
        <v>0</v>
      </c>
      <c r="AL17" s="13">
        <f t="shared" si="8"/>
        <v>0</v>
      </c>
      <c r="AM17" s="13">
        <f t="shared" si="8"/>
        <v>0</v>
      </c>
      <c r="AN17" s="13">
        <f t="shared" si="8"/>
        <v>0</v>
      </c>
      <c r="AO17" s="13">
        <f t="shared" si="8"/>
        <v>0</v>
      </c>
      <c r="AP17" s="13">
        <f t="shared" si="8"/>
        <v>0</v>
      </c>
      <c r="AQ17" s="13">
        <f t="shared" si="8"/>
        <v>0</v>
      </c>
      <c r="AR17" s="13">
        <f t="shared" si="8"/>
        <v>0</v>
      </c>
      <c r="AS17" s="13">
        <f t="shared" si="8"/>
        <v>0</v>
      </c>
      <c r="AT17" s="13">
        <f t="shared" si="8"/>
        <v>0</v>
      </c>
      <c r="AU17" s="13">
        <f t="shared" si="8"/>
        <v>0</v>
      </c>
      <c r="AV17" s="13">
        <f t="shared" si="8"/>
        <v>0</v>
      </c>
      <c r="AW17" s="13">
        <f t="shared" si="8"/>
        <v>0</v>
      </c>
      <c r="AX17" s="13">
        <f t="shared" si="8"/>
        <v>0</v>
      </c>
      <c r="AY17" s="13">
        <f t="shared" si="8"/>
        <v>0</v>
      </c>
      <c r="AZ17" s="13">
        <f t="shared" si="8"/>
        <v>0</v>
      </c>
    </row>
    <row r="18" spans="1:52" x14ac:dyDescent="0.35">
      <c r="AB18" s="12" t="s">
        <v>51</v>
      </c>
      <c r="AC18" s="13">
        <f>B23</f>
        <v>0</v>
      </c>
      <c r="AD18" s="13">
        <f t="shared" ref="AD18:AZ18" si="9">C23</f>
        <v>0</v>
      </c>
      <c r="AE18" s="13">
        <f t="shared" si="9"/>
        <v>0</v>
      </c>
      <c r="AF18" s="13">
        <f t="shared" si="9"/>
        <v>0</v>
      </c>
      <c r="AG18" s="13">
        <f t="shared" si="9"/>
        <v>0</v>
      </c>
      <c r="AH18" s="13">
        <f t="shared" si="9"/>
        <v>0</v>
      </c>
      <c r="AI18" s="13">
        <f t="shared" si="9"/>
        <v>0</v>
      </c>
      <c r="AJ18" s="13">
        <f t="shared" si="9"/>
        <v>0</v>
      </c>
      <c r="AK18" s="13">
        <f t="shared" si="9"/>
        <v>0</v>
      </c>
      <c r="AL18" s="13">
        <f t="shared" si="9"/>
        <v>0</v>
      </c>
      <c r="AM18" s="13">
        <f t="shared" si="9"/>
        <v>0</v>
      </c>
      <c r="AN18" s="13">
        <f t="shared" si="9"/>
        <v>0</v>
      </c>
      <c r="AO18" s="13">
        <f t="shared" si="9"/>
        <v>0</v>
      </c>
      <c r="AP18" s="13">
        <f t="shared" si="9"/>
        <v>0</v>
      </c>
      <c r="AQ18" s="13">
        <f t="shared" si="9"/>
        <v>0</v>
      </c>
      <c r="AR18" s="13">
        <f t="shared" si="9"/>
        <v>0</v>
      </c>
      <c r="AS18" s="13">
        <f t="shared" si="9"/>
        <v>0</v>
      </c>
      <c r="AT18" s="13">
        <f t="shared" si="9"/>
        <v>0</v>
      </c>
      <c r="AU18" s="13">
        <f t="shared" si="9"/>
        <v>0</v>
      </c>
      <c r="AV18" s="13">
        <f t="shared" si="9"/>
        <v>0</v>
      </c>
      <c r="AW18" s="13">
        <f t="shared" si="9"/>
        <v>0</v>
      </c>
      <c r="AX18" s="13">
        <f t="shared" si="9"/>
        <v>0</v>
      </c>
      <c r="AY18" s="13">
        <f t="shared" si="9"/>
        <v>0</v>
      </c>
      <c r="AZ18" s="13">
        <f t="shared" si="9"/>
        <v>0</v>
      </c>
    </row>
    <row r="19" spans="1:52" x14ac:dyDescent="0.35">
      <c r="A19" t="s">
        <v>51</v>
      </c>
      <c r="AB19" s="12" t="s">
        <v>53</v>
      </c>
      <c r="AC19" s="13">
        <f>B32</f>
        <v>0</v>
      </c>
      <c r="AD19" s="13">
        <f t="shared" ref="AD19:AZ19" si="10">C32</f>
        <v>0</v>
      </c>
      <c r="AE19" s="13">
        <f t="shared" si="10"/>
        <v>0</v>
      </c>
      <c r="AF19" s="13">
        <f t="shared" si="10"/>
        <v>0</v>
      </c>
      <c r="AG19" s="13">
        <f t="shared" si="10"/>
        <v>0</v>
      </c>
      <c r="AH19" s="13">
        <f t="shared" si="10"/>
        <v>0</v>
      </c>
      <c r="AI19" s="13">
        <f t="shared" si="10"/>
        <v>0</v>
      </c>
      <c r="AJ19" s="13">
        <f t="shared" si="10"/>
        <v>0</v>
      </c>
      <c r="AK19" s="13">
        <f t="shared" si="10"/>
        <v>0</v>
      </c>
      <c r="AL19" s="13">
        <f t="shared" si="10"/>
        <v>0</v>
      </c>
      <c r="AM19" s="13">
        <f t="shared" si="10"/>
        <v>0</v>
      </c>
      <c r="AN19" s="13">
        <f t="shared" si="10"/>
        <v>0</v>
      </c>
      <c r="AO19" s="13">
        <f t="shared" si="10"/>
        <v>0</v>
      </c>
      <c r="AP19" s="13">
        <f t="shared" si="10"/>
        <v>0</v>
      </c>
      <c r="AQ19" s="13">
        <f t="shared" si="10"/>
        <v>0</v>
      </c>
      <c r="AR19" s="13">
        <f t="shared" si="10"/>
        <v>0</v>
      </c>
      <c r="AS19" s="13">
        <f t="shared" si="10"/>
        <v>0</v>
      </c>
      <c r="AT19" s="13">
        <f t="shared" si="10"/>
        <v>0</v>
      </c>
      <c r="AU19" s="13">
        <f t="shared" si="10"/>
        <v>0</v>
      </c>
      <c r="AV19" s="13">
        <f t="shared" si="10"/>
        <v>0</v>
      </c>
      <c r="AW19" s="13">
        <f t="shared" si="10"/>
        <v>0</v>
      </c>
      <c r="AX19" s="13">
        <f t="shared" si="10"/>
        <v>0</v>
      </c>
      <c r="AY19" s="13">
        <f t="shared" si="10"/>
        <v>0</v>
      </c>
      <c r="AZ19" s="13">
        <f t="shared" si="10"/>
        <v>0</v>
      </c>
    </row>
    <row r="20" spans="1:52" x14ac:dyDescent="0.35">
      <c r="A20" s="23" t="s">
        <v>40</v>
      </c>
      <c r="B20" s="22" t="s">
        <v>10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AB20" s="12" t="s">
        <v>55</v>
      </c>
      <c r="AC20" s="13">
        <f>B41</f>
        <v>0</v>
      </c>
      <c r="AD20" s="13">
        <f t="shared" ref="AD20:AZ20" si="11">C41</f>
        <v>0</v>
      </c>
      <c r="AE20" s="13">
        <f t="shared" si="11"/>
        <v>0</v>
      </c>
      <c r="AF20" s="13">
        <f t="shared" si="11"/>
        <v>0</v>
      </c>
      <c r="AG20" s="13">
        <f t="shared" si="11"/>
        <v>0</v>
      </c>
      <c r="AH20" s="13">
        <f t="shared" si="11"/>
        <v>0</v>
      </c>
      <c r="AI20" s="13">
        <f t="shared" si="11"/>
        <v>0</v>
      </c>
      <c r="AJ20" s="13">
        <f t="shared" si="11"/>
        <v>0</v>
      </c>
      <c r="AK20" s="13">
        <f t="shared" si="11"/>
        <v>0</v>
      </c>
      <c r="AL20" s="13">
        <f t="shared" si="11"/>
        <v>0</v>
      </c>
      <c r="AM20" s="13">
        <f t="shared" si="11"/>
        <v>0</v>
      </c>
      <c r="AN20" s="13">
        <f t="shared" si="11"/>
        <v>0</v>
      </c>
      <c r="AO20" s="13">
        <f t="shared" si="11"/>
        <v>0</v>
      </c>
      <c r="AP20" s="13">
        <f t="shared" si="11"/>
        <v>0</v>
      </c>
      <c r="AQ20" s="13">
        <f t="shared" si="11"/>
        <v>0</v>
      </c>
      <c r="AR20" s="13">
        <f t="shared" si="11"/>
        <v>0</v>
      </c>
      <c r="AS20" s="13">
        <f t="shared" si="11"/>
        <v>0</v>
      </c>
      <c r="AT20" s="13">
        <f t="shared" si="11"/>
        <v>0</v>
      </c>
      <c r="AU20" s="13">
        <f t="shared" si="11"/>
        <v>0</v>
      </c>
      <c r="AV20" s="13">
        <f t="shared" si="11"/>
        <v>0</v>
      </c>
      <c r="AW20" s="13">
        <f t="shared" si="11"/>
        <v>0</v>
      </c>
      <c r="AX20" s="13">
        <f t="shared" si="11"/>
        <v>0</v>
      </c>
      <c r="AY20" s="13">
        <f t="shared" si="11"/>
        <v>0</v>
      </c>
      <c r="AZ20" s="13">
        <f t="shared" si="11"/>
        <v>0</v>
      </c>
    </row>
    <row r="21" spans="1:52" x14ac:dyDescent="0.35">
      <c r="A21" s="23"/>
      <c r="B21" s="12">
        <v>1</v>
      </c>
      <c r="C21" s="12">
        <v>2</v>
      </c>
      <c r="D21" s="12">
        <v>3</v>
      </c>
      <c r="E21" s="12">
        <v>4</v>
      </c>
      <c r="F21" s="12">
        <v>5</v>
      </c>
      <c r="G21" s="12">
        <v>6</v>
      </c>
      <c r="H21" s="12">
        <v>7</v>
      </c>
      <c r="I21" s="12">
        <v>8</v>
      </c>
      <c r="J21" s="12">
        <v>9</v>
      </c>
      <c r="K21" s="12">
        <v>10</v>
      </c>
      <c r="L21" s="12">
        <v>11</v>
      </c>
      <c r="M21" s="12">
        <v>12</v>
      </c>
      <c r="N21" s="12">
        <v>13</v>
      </c>
      <c r="O21" s="12">
        <v>14</v>
      </c>
      <c r="P21" s="12">
        <v>15</v>
      </c>
      <c r="Q21" s="12">
        <v>16</v>
      </c>
      <c r="R21" s="12">
        <v>17</v>
      </c>
      <c r="S21" s="12">
        <v>18</v>
      </c>
      <c r="T21" s="12">
        <v>19</v>
      </c>
      <c r="U21" s="12">
        <v>20</v>
      </c>
      <c r="V21" s="12">
        <v>21</v>
      </c>
      <c r="W21" s="12">
        <v>22</v>
      </c>
      <c r="X21" s="12">
        <v>23</v>
      </c>
      <c r="Y21" s="12">
        <v>24</v>
      </c>
      <c r="AB21" s="12" t="s">
        <v>57</v>
      </c>
      <c r="AC21" s="13">
        <f>B50</f>
        <v>0</v>
      </c>
      <c r="AD21" s="13">
        <f t="shared" ref="AD21:AZ21" si="12">C50</f>
        <v>0</v>
      </c>
      <c r="AE21" s="13">
        <f t="shared" si="12"/>
        <v>0</v>
      </c>
      <c r="AF21" s="13">
        <f t="shared" si="12"/>
        <v>0</v>
      </c>
      <c r="AG21" s="13">
        <f t="shared" si="12"/>
        <v>0</v>
      </c>
      <c r="AH21" s="13">
        <f t="shared" si="12"/>
        <v>0</v>
      </c>
      <c r="AI21" s="13">
        <f t="shared" si="12"/>
        <v>0</v>
      </c>
      <c r="AJ21" s="13">
        <f t="shared" si="12"/>
        <v>0</v>
      </c>
      <c r="AK21" s="13">
        <f t="shared" si="12"/>
        <v>0</v>
      </c>
      <c r="AL21" s="13">
        <f t="shared" si="12"/>
        <v>0</v>
      </c>
      <c r="AM21" s="13">
        <f t="shared" si="12"/>
        <v>0</v>
      </c>
      <c r="AN21" s="13">
        <f t="shared" si="12"/>
        <v>0</v>
      </c>
      <c r="AO21" s="13">
        <f t="shared" si="12"/>
        <v>0</v>
      </c>
      <c r="AP21" s="13">
        <f t="shared" si="12"/>
        <v>0</v>
      </c>
      <c r="AQ21" s="13">
        <f t="shared" si="12"/>
        <v>0</v>
      </c>
      <c r="AR21" s="13">
        <f t="shared" si="12"/>
        <v>0</v>
      </c>
      <c r="AS21" s="13">
        <f t="shared" si="12"/>
        <v>0</v>
      </c>
      <c r="AT21" s="13">
        <f t="shared" si="12"/>
        <v>0</v>
      </c>
      <c r="AU21" s="13">
        <f t="shared" si="12"/>
        <v>0</v>
      </c>
      <c r="AV21" s="13">
        <f t="shared" si="12"/>
        <v>0</v>
      </c>
      <c r="AW21" s="13">
        <f t="shared" si="12"/>
        <v>0</v>
      </c>
      <c r="AX21" s="13">
        <f t="shared" si="12"/>
        <v>0</v>
      </c>
      <c r="AY21" s="13">
        <f t="shared" si="12"/>
        <v>0</v>
      </c>
      <c r="AZ21" s="13">
        <f t="shared" si="12"/>
        <v>0</v>
      </c>
    </row>
    <row r="22" spans="1:52" x14ac:dyDescent="0.35">
      <c r="A22" s="13" t="s">
        <v>39</v>
      </c>
      <c r="B22" s="13">
        <v>35400</v>
      </c>
      <c r="C22" s="13">
        <v>35400</v>
      </c>
      <c r="D22" s="13">
        <v>35400</v>
      </c>
      <c r="E22" s="13">
        <v>35400</v>
      </c>
      <c r="F22" s="13">
        <v>35400</v>
      </c>
      <c r="G22" s="13">
        <v>35400</v>
      </c>
      <c r="H22" s="13">
        <v>35400</v>
      </c>
      <c r="I22" s="13">
        <v>35400</v>
      </c>
      <c r="J22" s="13">
        <v>35400</v>
      </c>
      <c r="K22" s="13">
        <v>35400</v>
      </c>
      <c r="L22" s="13">
        <v>35400</v>
      </c>
      <c r="M22" s="13">
        <v>35400</v>
      </c>
      <c r="N22" s="13">
        <v>35400</v>
      </c>
      <c r="O22" s="13">
        <v>35400</v>
      </c>
      <c r="P22" s="13">
        <v>36048</v>
      </c>
      <c r="Q22" s="13">
        <v>36048</v>
      </c>
      <c r="R22" s="13">
        <v>35400</v>
      </c>
      <c r="S22" s="13">
        <v>35400</v>
      </c>
      <c r="T22" s="13">
        <v>35400</v>
      </c>
      <c r="U22" s="13">
        <v>35400</v>
      </c>
      <c r="V22" s="13">
        <v>35400</v>
      </c>
      <c r="W22" s="13">
        <v>35400</v>
      </c>
      <c r="X22" s="13">
        <v>35400</v>
      </c>
      <c r="Y22" s="13">
        <v>35400</v>
      </c>
      <c r="AB22" s="12" t="s">
        <v>59</v>
      </c>
      <c r="AC22" s="13">
        <f>B59</f>
        <v>0</v>
      </c>
      <c r="AD22" s="13">
        <f t="shared" ref="AD22:AZ22" si="13">C59</f>
        <v>400</v>
      </c>
      <c r="AE22" s="13">
        <f t="shared" si="13"/>
        <v>400</v>
      </c>
      <c r="AF22" s="13">
        <f t="shared" si="13"/>
        <v>0</v>
      </c>
      <c r="AG22" s="13">
        <f t="shared" si="13"/>
        <v>0</v>
      </c>
      <c r="AH22" s="13">
        <f t="shared" si="13"/>
        <v>0</v>
      </c>
      <c r="AI22" s="13">
        <f t="shared" si="13"/>
        <v>0</v>
      </c>
      <c r="AJ22" s="13">
        <f t="shared" si="13"/>
        <v>0</v>
      </c>
      <c r="AK22" s="13">
        <f t="shared" si="13"/>
        <v>100</v>
      </c>
      <c r="AL22" s="13">
        <f t="shared" si="13"/>
        <v>400</v>
      </c>
      <c r="AM22" s="13">
        <f t="shared" si="13"/>
        <v>400</v>
      </c>
      <c r="AN22" s="13">
        <f t="shared" si="13"/>
        <v>275.00000000000011</v>
      </c>
      <c r="AO22" s="13">
        <f t="shared" si="13"/>
        <v>100</v>
      </c>
      <c r="AP22" s="13">
        <f t="shared" si="13"/>
        <v>400</v>
      </c>
      <c r="AQ22" s="13">
        <f t="shared" si="13"/>
        <v>400</v>
      </c>
      <c r="AR22" s="13">
        <f t="shared" si="13"/>
        <v>400.00000000000011</v>
      </c>
      <c r="AS22" s="13">
        <f t="shared" si="13"/>
        <v>400.00000000000011</v>
      </c>
      <c r="AT22" s="13">
        <f t="shared" si="13"/>
        <v>400.00000000000011</v>
      </c>
      <c r="AU22" s="13">
        <f t="shared" si="13"/>
        <v>400.00000000000011</v>
      </c>
      <c r="AV22" s="13">
        <f t="shared" si="13"/>
        <v>400.00000000000011</v>
      </c>
      <c r="AW22" s="13">
        <f t="shared" si="13"/>
        <v>100</v>
      </c>
      <c r="AX22" s="13">
        <f t="shared" si="13"/>
        <v>300</v>
      </c>
      <c r="AY22" s="13">
        <f t="shared" si="13"/>
        <v>300</v>
      </c>
      <c r="AZ22" s="13">
        <f t="shared" si="13"/>
        <v>0</v>
      </c>
    </row>
    <row r="23" spans="1:52" x14ac:dyDescent="0.35">
      <c r="A23" s="13" t="s">
        <v>32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</row>
    <row r="24" spans="1:52" x14ac:dyDescent="0.35">
      <c r="A24" s="13" t="s">
        <v>34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</row>
    <row r="25" spans="1:52" x14ac:dyDescent="0.35">
      <c r="AB25" t="s">
        <v>34</v>
      </c>
    </row>
    <row r="26" spans="1:52" x14ac:dyDescent="0.35">
      <c r="AB26" s="21" t="s">
        <v>0</v>
      </c>
      <c r="AC26" s="22" t="s">
        <v>10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</row>
    <row r="27" spans="1:52" x14ac:dyDescent="0.35">
      <c r="AB27" s="21"/>
      <c r="AC27" s="12">
        <v>1</v>
      </c>
      <c r="AD27" s="12">
        <v>2</v>
      </c>
      <c r="AE27" s="12">
        <v>3</v>
      </c>
      <c r="AF27" s="12">
        <v>4</v>
      </c>
      <c r="AG27" s="12">
        <v>5</v>
      </c>
      <c r="AH27" s="12">
        <v>6</v>
      </c>
      <c r="AI27" s="12">
        <v>7</v>
      </c>
      <c r="AJ27" s="12">
        <v>8</v>
      </c>
      <c r="AK27" s="12">
        <v>9</v>
      </c>
      <c r="AL27" s="12">
        <v>10</v>
      </c>
      <c r="AM27" s="12">
        <v>11</v>
      </c>
      <c r="AN27" s="12">
        <v>12</v>
      </c>
      <c r="AO27" s="12">
        <v>13</v>
      </c>
      <c r="AP27" s="12">
        <v>14</v>
      </c>
      <c r="AQ27" s="12">
        <v>15</v>
      </c>
      <c r="AR27" s="12">
        <v>16</v>
      </c>
      <c r="AS27" s="12">
        <v>17</v>
      </c>
      <c r="AT27" s="12">
        <v>18</v>
      </c>
      <c r="AU27" s="12">
        <v>19</v>
      </c>
      <c r="AV27" s="12">
        <v>20</v>
      </c>
      <c r="AW27" s="12">
        <v>21</v>
      </c>
      <c r="AX27" s="12">
        <v>22</v>
      </c>
      <c r="AY27" s="12">
        <v>23</v>
      </c>
      <c r="AZ27" s="12">
        <v>24</v>
      </c>
    </row>
    <row r="28" spans="1:52" x14ac:dyDescent="0.35">
      <c r="A28" t="s">
        <v>53</v>
      </c>
      <c r="AB28" s="12" t="s">
        <v>7</v>
      </c>
      <c r="AC28" s="13">
        <f>B6</f>
        <v>0</v>
      </c>
      <c r="AD28" s="13">
        <f t="shared" ref="AD28:AZ28" si="14">C6</f>
        <v>0</v>
      </c>
      <c r="AE28" s="13">
        <f t="shared" si="14"/>
        <v>0</v>
      </c>
      <c r="AF28" s="13">
        <f t="shared" si="14"/>
        <v>0</v>
      </c>
      <c r="AG28" s="13">
        <f t="shared" si="14"/>
        <v>0</v>
      </c>
      <c r="AH28" s="13">
        <f t="shared" si="14"/>
        <v>0</v>
      </c>
      <c r="AI28" s="13">
        <f t="shared" si="14"/>
        <v>0</v>
      </c>
      <c r="AJ28" s="13">
        <f t="shared" si="14"/>
        <v>0</v>
      </c>
      <c r="AK28" s="13">
        <f t="shared" si="14"/>
        <v>0</v>
      </c>
      <c r="AL28" s="13">
        <f t="shared" si="14"/>
        <v>0</v>
      </c>
      <c r="AM28" s="13">
        <f t="shared" si="14"/>
        <v>0</v>
      </c>
      <c r="AN28" s="13">
        <f t="shared" si="14"/>
        <v>0</v>
      </c>
      <c r="AO28" s="13">
        <f t="shared" si="14"/>
        <v>0</v>
      </c>
      <c r="AP28" s="13">
        <f t="shared" si="14"/>
        <v>0</v>
      </c>
      <c r="AQ28" s="13">
        <f t="shared" si="14"/>
        <v>0</v>
      </c>
      <c r="AR28" s="13">
        <f t="shared" si="14"/>
        <v>0</v>
      </c>
      <c r="AS28" s="13">
        <f t="shared" si="14"/>
        <v>0</v>
      </c>
      <c r="AT28" s="13">
        <f t="shared" si="14"/>
        <v>0</v>
      </c>
      <c r="AU28" s="13">
        <f t="shared" si="14"/>
        <v>0</v>
      </c>
      <c r="AV28" s="13">
        <f t="shared" si="14"/>
        <v>0</v>
      </c>
      <c r="AW28" s="13">
        <f t="shared" si="14"/>
        <v>0</v>
      </c>
      <c r="AX28" s="13">
        <f t="shared" si="14"/>
        <v>0</v>
      </c>
      <c r="AY28" s="13">
        <f t="shared" si="14"/>
        <v>0</v>
      </c>
      <c r="AZ28" s="13">
        <f t="shared" si="14"/>
        <v>0</v>
      </c>
    </row>
    <row r="29" spans="1:52" x14ac:dyDescent="0.35">
      <c r="A29" s="23" t="s">
        <v>40</v>
      </c>
      <c r="B29" s="22" t="s">
        <v>10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AB29" s="12" t="s">
        <v>49</v>
      </c>
      <c r="AC29" s="13">
        <f>B15</f>
        <v>0</v>
      </c>
      <c r="AD29" s="13">
        <f t="shared" ref="AD29:AZ29" si="15">C15</f>
        <v>0</v>
      </c>
      <c r="AE29" s="13">
        <f t="shared" si="15"/>
        <v>0</v>
      </c>
      <c r="AF29" s="13">
        <f t="shared" si="15"/>
        <v>0</v>
      </c>
      <c r="AG29" s="13">
        <f t="shared" si="15"/>
        <v>0</v>
      </c>
      <c r="AH29" s="13">
        <f t="shared" si="15"/>
        <v>0</v>
      </c>
      <c r="AI29" s="13">
        <f t="shared" si="15"/>
        <v>0</v>
      </c>
      <c r="AJ29" s="13">
        <f t="shared" si="15"/>
        <v>0</v>
      </c>
      <c r="AK29" s="13">
        <f t="shared" si="15"/>
        <v>0</v>
      </c>
      <c r="AL29" s="13">
        <f t="shared" si="15"/>
        <v>0</v>
      </c>
      <c r="AM29" s="13">
        <f t="shared" si="15"/>
        <v>0</v>
      </c>
      <c r="AN29" s="13">
        <f t="shared" si="15"/>
        <v>0</v>
      </c>
      <c r="AO29" s="13">
        <f t="shared" si="15"/>
        <v>0</v>
      </c>
      <c r="AP29" s="13">
        <f t="shared" si="15"/>
        <v>0</v>
      </c>
      <c r="AQ29" s="13">
        <f t="shared" si="15"/>
        <v>0</v>
      </c>
      <c r="AR29" s="13">
        <f t="shared" si="15"/>
        <v>0</v>
      </c>
      <c r="AS29" s="13">
        <f t="shared" si="15"/>
        <v>0</v>
      </c>
      <c r="AT29" s="13">
        <f t="shared" si="15"/>
        <v>0</v>
      </c>
      <c r="AU29" s="13">
        <f t="shared" si="15"/>
        <v>0</v>
      </c>
      <c r="AV29" s="13">
        <f t="shared" si="15"/>
        <v>0</v>
      </c>
      <c r="AW29" s="13">
        <f t="shared" si="15"/>
        <v>0</v>
      </c>
      <c r="AX29" s="13">
        <f t="shared" si="15"/>
        <v>0</v>
      </c>
      <c r="AY29" s="13">
        <f t="shared" si="15"/>
        <v>0</v>
      </c>
      <c r="AZ29" s="13">
        <f t="shared" si="15"/>
        <v>0</v>
      </c>
    </row>
    <row r="30" spans="1:52" x14ac:dyDescent="0.35">
      <c r="A30" s="23"/>
      <c r="B30" s="12">
        <v>1</v>
      </c>
      <c r="C30" s="12">
        <v>2</v>
      </c>
      <c r="D30" s="12">
        <v>3</v>
      </c>
      <c r="E30" s="12">
        <v>4</v>
      </c>
      <c r="F30" s="12">
        <v>5</v>
      </c>
      <c r="G30" s="12">
        <v>6</v>
      </c>
      <c r="H30" s="12">
        <v>7</v>
      </c>
      <c r="I30" s="12">
        <v>8</v>
      </c>
      <c r="J30" s="12">
        <v>9</v>
      </c>
      <c r="K30" s="12">
        <v>10</v>
      </c>
      <c r="L30" s="12">
        <v>11</v>
      </c>
      <c r="M30" s="12">
        <v>12</v>
      </c>
      <c r="N30" s="12">
        <v>13</v>
      </c>
      <c r="O30" s="12">
        <v>14</v>
      </c>
      <c r="P30" s="12">
        <v>15</v>
      </c>
      <c r="Q30" s="12">
        <v>16</v>
      </c>
      <c r="R30" s="12">
        <v>17</v>
      </c>
      <c r="S30" s="12">
        <v>18</v>
      </c>
      <c r="T30" s="12">
        <v>19</v>
      </c>
      <c r="U30" s="12">
        <v>20</v>
      </c>
      <c r="V30" s="12">
        <v>21</v>
      </c>
      <c r="W30" s="12">
        <v>22</v>
      </c>
      <c r="X30" s="12">
        <v>23</v>
      </c>
      <c r="Y30" s="12">
        <v>24</v>
      </c>
      <c r="AB30" s="12" t="s">
        <v>51</v>
      </c>
      <c r="AC30" s="13">
        <f>B24</f>
        <v>0</v>
      </c>
      <c r="AD30" s="13">
        <f t="shared" ref="AD30:AZ30" si="16">C24</f>
        <v>0</v>
      </c>
      <c r="AE30" s="13">
        <f t="shared" si="16"/>
        <v>0</v>
      </c>
      <c r="AF30" s="13">
        <f t="shared" si="16"/>
        <v>0</v>
      </c>
      <c r="AG30" s="13">
        <f t="shared" si="16"/>
        <v>0</v>
      </c>
      <c r="AH30" s="13">
        <f t="shared" si="16"/>
        <v>0</v>
      </c>
      <c r="AI30" s="13">
        <f t="shared" si="16"/>
        <v>0</v>
      </c>
      <c r="AJ30" s="13">
        <f t="shared" si="16"/>
        <v>0</v>
      </c>
      <c r="AK30" s="13">
        <f t="shared" si="16"/>
        <v>0</v>
      </c>
      <c r="AL30" s="13">
        <f t="shared" si="16"/>
        <v>0</v>
      </c>
      <c r="AM30" s="13">
        <f t="shared" si="16"/>
        <v>0</v>
      </c>
      <c r="AN30" s="13">
        <f t="shared" si="16"/>
        <v>0</v>
      </c>
      <c r="AO30" s="13">
        <f t="shared" si="16"/>
        <v>0</v>
      </c>
      <c r="AP30" s="13">
        <f t="shared" si="16"/>
        <v>0</v>
      </c>
      <c r="AQ30" s="13">
        <f t="shared" si="16"/>
        <v>0</v>
      </c>
      <c r="AR30" s="13">
        <f t="shared" si="16"/>
        <v>0</v>
      </c>
      <c r="AS30" s="13">
        <f t="shared" si="16"/>
        <v>0</v>
      </c>
      <c r="AT30" s="13">
        <f t="shared" si="16"/>
        <v>0</v>
      </c>
      <c r="AU30" s="13">
        <f t="shared" si="16"/>
        <v>0</v>
      </c>
      <c r="AV30" s="13">
        <f t="shared" si="16"/>
        <v>0</v>
      </c>
      <c r="AW30" s="13">
        <f t="shared" si="16"/>
        <v>0</v>
      </c>
      <c r="AX30" s="13">
        <f t="shared" si="16"/>
        <v>0</v>
      </c>
      <c r="AY30" s="13">
        <f t="shared" si="16"/>
        <v>0</v>
      </c>
      <c r="AZ30" s="13">
        <f t="shared" si="16"/>
        <v>0</v>
      </c>
    </row>
    <row r="31" spans="1:52" x14ac:dyDescent="0.35">
      <c r="A31" s="13" t="s">
        <v>39</v>
      </c>
      <c r="B31" s="13">
        <v>49647</v>
      </c>
      <c r="C31" s="13">
        <v>42690</v>
      </c>
      <c r="D31" s="13">
        <v>42690</v>
      </c>
      <c r="E31" s="13">
        <v>42690</v>
      </c>
      <c r="F31" s="13">
        <v>42690</v>
      </c>
      <c r="G31" s="13">
        <v>42690</v>
      </c>
      <c r="H31" s="13">
        <v>42690</v>
      </c>
      <c r="I31" s="13">
        <v>42690</v>
      </c>
      <c r="J31" s="13">
        <v>42690</v>
      </c>
      <c r="K31" s="13">
        <v>42690</v>
      </c>
      <c r="L31" s="13">
        <v>42690</v>
      </c>
      <c r="M31" s="13">
        <v>42690</v>
      </c>
      <c r="N31" s="13">
        <v>42690</v>
      </c>
      <c r="O31" s="13">
        <v>42690</v>
      </c>
      <c r="P31" s="13">
        <v>42690</v>
      </c>
      <c r="Q31" s="13">
        <v>42690</v>
      </c>
      <c r="R31" s="13">
        <v>42690</v>
      </c>
      <c r="S31" s="13">
        <v>42690</v>
      </c>
      <c r="T31" s="13">
        <v>42690</v>
      </c>
      <c r="U31" s="13">
        <v>42690</v>
      </c>
      <c r="V31" s="13">
        <v>42690</v>
      </c>
      <c r="W31" s="13">
        <v>42690</v>
      </c>
      <c r="X31" s="13">
        <v>42690</v>
      </c>
      <c r="Y31" s="13">
        <v>42690</v>
      </c>
      <c r="AB31" s="12" t="s">
        <v>53</v>
      </c>
      <c r="AC31" s="13">
        <f>B33</f>
        <v>0</v>
      </c>
      <c r="AD31" s="13">
        <f t="shared" ref="AD31:AZ31" si="17">C33</f>
        <v>0</v>
      </c>
      <c r="AE31" s="13">
        <f t="shared" si="17"/>
        <v>0</v>
      </c>
      <c r="AF31" s="13">
        <f t="shared" si="17"/>
        <v>0</v>
      </c>
      <c r="AG31" s="13">
        <f t="shared" si="17"/>
        <v>0</v>
      </c>
      <c r="AH31" s="13">
        <f t="shared" si="17"/>
        <v>0</v>
      </c>
      <c r="AI31" s="13">
        <f t="shared" si="17"/>
        <v>0</v>
      </c>
      <c r="AJ31" s="13">
        <f t="shared" si="17"/>
        <v>0</v>
      </c>
      <c r="AK31" s="13">
        <f t="shared" si="17"/>
        <v>0</v>
      </c>
      <c r="AL31" s="13">
        <f t="shared" si="17"/>
        <v>0</v>
      </c>
      <c r="AM31" s="13">
        <f t="shared" si="17"/>
        <v>0</v>
      </c>
      <c r="AN31" s="13">
        <f t="shared" si="17"/>
        <v>0</v>
      </c>
      <c r="AO31" s="13">
        <f t="shared" si="17"/>
        <v>0</v>
      </c>
      <c r="AP31" s="13">
        <f t="shared" si="17"/>
        <v>0</v>
      </c>
      <c r="AQ31" s="13">
        <f t="shared" si="17"/>
        <v>0</v>
      </c>
      <c r="AR31" s="13">
        <f t="shared" si="17"/>
        <v>0</v>
      </c>
      <c r="AS31" s="13">
        <f t="shared" si="17"/>
        <v>0</v>
      </c>
      <c r="AT31" s="13">
        <f t="shared" si="17"/>
        <v>0</v>
      </c>
      <c r="AU31" s="13">
        <f t="shared" si="17"/>
        <v>0</v>
      </c>
      <c r="AV31" s="13">
        <f t="shared" si="17"/>
        <v>0</v>
      </c>
      <c r="AW31" s="13">
        <f t="shared" si="17"/>
        <v>0</v>
      </c>
      <c r="AX31" s="13">
        <f t="shared" si="17"/>
        <v>0</v>
      </c>
      <c r="AY31" s="13">
        <f t="shared" si="17"/>
        <v>0</v>
      </c>
      <c r="AZ31" s="13">
        <f t="shared" si="17"/>
        <v>0</v>
      </c>
    </row>
    <row r="32" spans="1:52" x14ac:dyDescent="0.35">
      <c r="A32" s="13" t="s">
        <v>32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AB32" s="12" t="s">
        <v>55</v>
      </c>
      <c r="AC32" s="13">
        <f>B42</f>
        <v>0</v>
      </c>
      <c r="AD32" s="13">
        <f t="shared" ref="AD32:AZ32" si="18">C42</f>
        <v>0</v>
      </c>
      <c r="AE32" s="13">
        <f t="shared" si="18"/>
        <v>0</v>
      </c>
      <c r="AF32" s="13">
        <f t="shared" si="18"/>
        <v>0</v>
      </c>
      <c r="AG32" s="13">
        <f t="shared" si="18"/>
        <v>0</v>
      </c>
      <c r="AH32" s="13">
        <f t="shared" si="18"/>
        <v>0</v>
      </c>
      <c r="AI32" s="13">
        <f t="shared" si="18"/>
        <v>0</v>
      </c>
      <c r="AJ32" s="13">
        <f t="shared" si="18"/>
        <v>0</v>
      </c>
      <c r="AK32" s="13">
        <f t="shared" si="18"/>
        <v>0</v>
      </c>
      <c r="AL32" s="13">
        <f t="shared" si="18"/>
        <v>0</v>
      </c>
      <c r="AM32" s="13">
        <f t="shared" si="18"/>
        <v>0</v>
      </c>
      <c r="AN32" s="13">
        <f t="shared" si="18"/>
        <v>0</v>
      </c>
      <c r="AO32" s="13">
        <f t="shared" si="18"/>
        <v>0</v>
      </c>
      <c r="AP32" s="13">
        <f t="shared" si="18"/>
        <v>0</v>
      </c>
      <c r="AQ32" s="13">
        <f t="shared" si="18"/>
        <v>0</v>
      </c>
      <c r="AR32" s="13">
        <f t="shared" si="18"/>
        <v>0</v>
      </c>
      <c r="AS32" s="13">
        <f t="shared" si="18"/>
        <v>0</v>
      </c>
      <c r="AT32" s="13">
        <f t="shared" si="18"/>
        <v>0</v>
      </c>
      <c r="AU32" s="13">
        <f t="shared" si="18"/>
        <v>0</v>
      </c>
      <c r="AV32" s="13">
        <f t="shared" si="18"/>
        <v>0</v>
      </c>
      <c r="AW32" s="13">
        <f t="shared" si="18"/>
        <v>0</v>
      </c>
      <c r="AX32" s="13">
        <f t="shared" si="18"/>
        <v>0</v>
      </c>
      <c r="AY32" s="13">
        <f t="shared" si="18"/>
        <v>0</v>
      </c>
      <c r="AZ32" s="13">
        <f t="shared" si="18"/>
        <v>0</v>
      </c>
    </row>
    <row r="33" spans="1:52" x14ac:dyDescent="0.35">
      <c r="A33" s="13" t="s">
        <v>34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AB33" s="12" t="s">
        <v>57</v>
      </c>
      <c r="AC33" s="13">
        <f>B51</f>
        <v>0</v>
      </c>
      <c r="AD33" s="13">
        <f t="shared" ref="AD33:AZ33" si="19">C51</f>
        <v>0</v>
      </c>
      <c r="AE33" s="13">
        <f t="shared" si="19"/>
        <v>0</v>
      </c>
      <c r="AF33" s="13">
        <f t="shared" si="19"/>
        <v>0</v>
      </c>
      <c r="AG33" s="13">
        <f t="shared" si="19"/>
        <v>0</v>
      </c>
      <c r="AH33" s="13">
        <f t="shared" si="19"/>
        <v>0</v>
      </c>
      <c r="AI33" s="13">
        <f t="shared" si="19"/>
        <v>0</v>
      </c>
      <c r="AJ33" s="13">
        <f t="shared" si="19"/>
        <v>0</v>
      </c>
      <c r="AK33" s="13">
        <f t="shared" si="19"/>
        <v>0</v>
      </c>
      <c r="AL33" s="13">
        <f t="shared" si="19"/>
        <v>0</v>
      </c>
      <c r="AM33" s="13">
        <f t="shared" si="19"/>
        <v>0</v>
      </c>
      <c r="AN33" s="13">
        <f t="shared" si="19"/>
        <v>0</v>
      </c>
      <c r="AO33" s="13">
        <f t="shared" si="19"/>
        <v>0</v>
      </c>
      <c r="AP33" s="13">
        <f t="shared" si="19"/>
        <v>0</v>
      </c>
      <c r="AQ33" s="13">
        <f t="shared" si="19"/>
        <v>0</v>
      </c>
      <c r="AR33" s="13">
        <f t="shared" si="19"/>
        <v>0</v>
      </c>
      <c r="AS33" s="13">
        <f t="shared" si="19"/>
        <v>0</v>
      </c>
      <c r="AT33" s="13">
        <f t="shared" si="19"/>
        <v>0</v>
      </c>
      <c r="AU33" s="13">
        <f t="shared" si="19"/>
        <v>0</v>
      </c>
      <c r="AV33" s="13">
        <f t="shared" si="19"/>
        <v>0</v>
      </c>
      <c r="AW33" s="13">
        <f t="shared" si="19"/>
        <v>0</v>
      </c>
      <c r="AX33" s="13">
        <f t="shared" si="19"/>
        <v>0</v>
      </c>
      <c r="AY33" s="13">
        <f t="shared" si="19"/>
        <v>0</v>
      </c>
      <c r="AZ33" s="13">
        <f t="shared" si="19"/>
        <v>0</v>
      </c>
    </row>
    <row r="34" spans="1:52" x14ac:dyDescent="0.35">
      <c r="AB34" s="12" t="s">
        <v>59</v>
      </c>
      <c r="AC34" s="13">
        <f>B60</f>
        <v>304.69266136507667</v>
      </c>
      <c r="AD34" s="13">
        <f t="shared" ref="AD34:AZ34" si="20">C60</f>
        <v>0</v>
      </c>
      <c r="AE34" s="13">
        <f t="shared" si="20"/>
        <v>0</v>
      </c>
      <c r="AF34" s="13">
        <f t="shared" si="20"/>
        <v>0</v>
      </c>
      <c r="AG34" s="13">
        <f t="shared" si="20"/>
        <v>0</v>
      </c>
      <c r="AH34" s="13">
        <f t="shared" si="20"/>
        <v>0</v>
      </c>
      <c r="AI34" s="13">
        <f t="shared" si="20"/>
        <v>0</v>
      </c>
      <c r="AJ34" s="13">
        <f t="shared" si="20"/>
        <v>0</v>
      </c>
      <c r="AK34" s="13">
        <f t="shared" si="20"/>
        <v>0</v>
      </c>
      <c r="AL34" s="13">
        <f t="shared" si="20"/>
        <v>0</v>
      </c>
      <c r="AM34" s="13">
        <f t="shared" si="20"/>
        <v>0</v>
      </c>
      <c r="AN34" s="13">
        <f t="shared" si="20"/>
        <v>0</v>
      </c>
      <c r="AO34" s="13">
        <f t="shared" si="20"/>
        <v>0</v>
      </c>
      <c r="AP34" s="13">
        <f t="shared" si="20"/>
        <v>0</v>
      </c>
      <c r="AQ34" s="13">
        <f t="shared" si="20"/>
        <v>0</v>
      </c>
      <c r="AR34" s="13">
        <f t="shared" si="20"/>
        <v>0</v>
      </c>
      <c r="AS34" s="13">
        <f t="shared" si="20"/>
        <v>0</v>
      </c>
      <c r="AT34" s="13">
        <f t="shared" si="20"/>
        <v>0</v>
      </c>
      <c r="AU34" s="13">
        <f t="shared" si="20"/>
        <v>0</v>
      </c>
      <c r="AV34" s="13">
        <f t="shared" si="20"/>
        <v>0</v>
      </c>
      <c r="AW34" s="13">
        <f t="shared" si="20"/>
        <v>0</v>
      </c>
      <c r="AX34" s="13">
        <f t="shared" si="20"/>
        <v>0</v>
      </c>
      <c r="AY34" s="13">
        <f t="shared" si="20"/>
        <v>0</v>
      </c>
      <c r="AZ34" s="13">
        <f t="shared" si="20"/>
        <v>0</v>
      </c>
    </row>
    <row r="37" spans="1:52" x14ac:dyDescent="0.35">
      <c r="A37" t="s">
        <v>55</v>
      </c>
      <c r="AB37" t="s">
        <v>61</v>
      </c>
    </row>
    <row r="38" spans="1:52" x14ac:dyDescent="0.35">
      <c r="A38" s="23" t="s">
        <v>40</v>
      </c>
      <c r="B38" s="22" t="s">
        <v>10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AB38" s="21" t="s">
        <v>0</v>
      </c>
      <c r="AC38" s="22" t="s">
        <v>10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</row>
    <row r="39" spans="1:52" x14ac:dyDescent="0.35">
      <c r="A39" s="23"/>
      <c r="B39" s="12">
        <v>1</v>
      </c>
      <c r="C39" s="12">
        <v>2</v>
      </c>
      <c r="D39" s="12">
        <v>3</v>
      </c>
      <c r="E39" s="12">
        <v>4</v>
      </c>
      <c r="F39" s="12">
        <v>5</v>
      </c>
      <c r="G39" s="12">
        <v>6</v>
      </c>
      <c r="H39" s="12">
        <v>7</v>
      </c>
      <c r="I39" s="12">
        <v>8</v>
      </c>
      <c r="J39" s="12">
        <v>9</v>
      </c>
      <c r="K39" s="12">
        <v>10</v>
      </c>
      <c r="L39" s="12">
        <v>11</v>
      </c>
      <c r="M39" s="12">
        <v>12</v>
      </c>
      <c r="N39" s="12">
        <v>13</v>
      </c>
      <c r="O39" s="12">
        <v>14</v>
      </c>
      <c r="P39" s="12">
        <v>15</v>
      </c>
      <c r="Q39" s="12">
        <v>16</v>
      </c>
      <c r="R39" s="12">
        <v>17</v>
      </c>
      <c r="S39" s="12">
        <v>18</v>
      </c>
      <c r="T39" s="12">
        <v>19</v>
      </c>
      <c r="U39" s="12">
        <v>20</v>
      </c>
      <c r="V39" s="12">
        <v>21</v>
      </c>
      <c r="W39" s="12">
        <v>22</v>
      </c>
      <c r="X39" s="12">
        <v>23</v>
      </c>
      <c r="Y39" s="12">
        <v>24</v>
      </c>
      <c r="AB39" s="21"/>
      <c r="AC39" s="12">
        <v>1</v>
      </c>
      <c r="AD39" s="12">
        <v>2</v>
      </c>
      <c r="AE39" s="12">
        <v>3</v>
      </c>
      <c r="AF39" s="12">
        <v>4</v>
      </c>
      <c r="AG39" s="12">
        <v>5</v>
      </c>
      <c r="AH39" s="12">
        <v>6</v>
      </c>
      <c r="AI39" s="12">
        <v>7</v>
      </c>
      <c r="AJ39" s="12">
        <v>8</v>
      </c>
      <c r="AK39" s="12">
        <v>9</v>
      </c>
      <c r="AL39" s="12">
        <v>10</v>
      </c>
      <c r="AM39" s="12">
        <v>11</v>
      </c>
      <c r="AN39" s="12">
        <v>12</v>
      </c>
      <c r="AO39" s="12">
        <v>13</v>
      </c>
      <c r="AP39" s="12">
        <v>14</v>
      </c>
      <c r="AQ39" s="12">
        <v>15</v>
      </c>
      <c r="AR39" s="12">
        <v>16</v>
      </c>
      <c r="AS39" s="12">
        <v>17</v>
      </c>
      <c r="AT39" s="12">
        <v>18</v>
      </c>
      <c r="AU39" s="12">
        <v>19</v>
      </c>
      <c r="AV39" s="12">
        <v>20</v>
      </c>
      <c r="AW39" s="12">
        <v>21</v>
      </c>
      <c r="AX39" s="12">
        <v>22</v>
      </c>
      <c r="AY39" s="12">
        <v>23</v>
      </c>
      <c r="AZ39" s="12">
        <v>24</v>
      </c>
    </row>
    <row r="40" spans="1:52" x14ac:dyDescent="0.35">
      <c r="A40" s="13" t="s">
        <v>39</v>
      </c>
      <c r="B40" s="13">
        <v>49647</v>
      </c>
      <c r="C40" s="13">
        <v>42690</v>
      </c>
      <c r="D40" s="13">
        <v>42690</v>
      </c>
      <c r="E40" s="13">
        <v>42690</v>
      </c>
      <c r="F40" s="13">
        <v>42690</v>
      </c>
      <c r="G40" s="13">
        <v>42690</v>
      </c>
      <c r="H40" s="13">
        <v>42690</v>
      </c>
      <c r="I40" s="13">
        <v>42690</v>
      </c>
      <c r="J40" s="13">
        <v>42690</v>
      </c>
      <c r="K40" s="13">
        <v>42690</v>
      </c>
      <c r="L40" s="13">
        <v>42690</v>
      </c>
      <c r="M40" s="13">
        <v>42690</v>
      </c>
      <c r="N40" s="13">
        <v>42690</v>
      </c>
      <c r="O40" s="13">
        <v>42690</v>
      </c>
      <c r="P40" s="13">
        <v>42690</v>
      </c>
      <c r="Q40" s="13">
        <v>42690</v>
      </c>
      <c r="R40" s="13">
        <v>42690</v>
      </c>
      <c r="S40" s="13">
        <v>42690</v>
      </c>
      <c r="T40" s="13">
        <v>42690</v>
      </c>
      <c r="U40" s="13">
        <v>42690</v>
      </c>
      <c r="V40" s="13">
        <v>42690</v>
      </c>
      <c r="W40" s="13">
        <v>42690</v>
      </c>
      <c r="X40" s="13">
        <v>42690</v>
      </c>
      <c r="Y40" s="13">
        <v>42690</v>
      </c>
      <c r="AB40" s="12" t="s">
        <v>7</v>
      </c>
      <c r="AC40" s="13">
        <f>AC16+AC28</f>
        <v>0</v>
      </c>
      <c r="AD40" s="13">
        <f t="shared" ref="AD40:AZ46" si="21">AD16+AD28</f>
        <v>0</v>
      </c>
      <c r="AE40" s="13">
        <f t="shared" si="21"/>
        <v>0</v>
      </c>
      <c r="AF40" s="13">
        <f t="shared" si="21"/>
        <v>0</v>
      </c>
      <c r="AG40" s="13">
        <f t="shared" si="21"/>
        <v>0</v>
      </c>
      <c r="AH40" s="13">
        <f t="shared" si="21"/>
        <v>0</v>
      </c>
      <c r="AI40" s="13">
        <f t="shared" si="21"/>
        <v>0</v>
      </c>
      <c r="AJ40" s="13">
        <f t="shared" si="21"/>
        <v>0</v>
      </c>
      <c r="AK40" s="13">
        <f t="shared" si="21"/>
        <v>0</v>
      </c>
      <c r="AL40" s="13">
        <f t="shared" si="21"/>
        <v>0</v>
      </c>
      <c r="AM40" s="13">
        <f t="shared" si="21"/>
        <v>0</v>
      </c>
      <c r="AN40" s="13">
        <f t="shared" si="21"/>
        <v>0</v>
      </c>
      <c r="AO40" s="13">
        <f t="shared" si="21"/>
        <v>0</v>
      </c>
      <c r="AP40" s="13">
        <f t="shared" si="21"/>
        <v>0</v>
      </c>
      <c r="AQ40" s="13">
        <f t="shared" si="21"/>
        <v>0</v>
      </c>
      <c r="AR40" s="13">
        <f t="shared" si="21"/>
        <v>0</v>
      </c>
      <c r="AS40" s="13">
        <f t="shared" si="21"/>
        <v>0</v>
      </c>
      <c r="AT40" s="13">
        <f t="shared" si="21"/>
        <v>0</v>
      </c>
      <c r="AU40" s="13">
        <f t="shared" si="21"/>
        <v>0</v>
      </c>
      <c r="AV40" s="13">
        <f t="shared" si="21"/>
        <v>0</v>
      </c>
      <c r="AW40" s="13">
        <f t="shared" si="21"/>
        <v>0</v>
      </c>
      <c r="AX40" s="13">
        <f t="shared" si="21"/>
        <v>0</v>
      </c>
      <c r="AY40" s="13">
        <f t="shared" si="21"/>
        <v>0</v>
      </c>
      <c r="AZ40" s="13">
        <f t="shared" si="21"/>
        <v>0</v>
      </c>
    </row>
    <row r="41" spans="1:52" x14ac:dyDescent="0.35">
      <c r="A41" s="13" t="s">
        <v>32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AB41" s="12" t="s">
        <v>49</v>
      </c>
      <c r="AC41" s="13">
        <f t="shared" ref="AC41:AR46" si="22">AC17+AC29</f>
        <v>0</v>
      </c>
      <c r="AD41" s="13">
        <f t="shared" si="22"/>
        <v>0</v>
      </c>
      <c r="AE41" s="13">
        <f t="shared" si="22"/>
        <v>0</v>
      </c>
      <c r="AF41" s="13">
        <f t="shared" si="22"/>
        <v>0</v>
      </c>
      <c r="AG41" s="13">
        <f t="shared" si="22"/>
        <v>0</v>
      </c>
      <c r="AH41" s="13">
        <f t="shared" si="22"/>
        <v>0</v>
      </c>
      <c r="AI41" s="13">
        <f t="shared" si="22"/>
        <v>0</v>
      </c>
      <c r="AJ41" s="13">
        <f t="shared" si="22"/>
        <v>0</v>
      </c>
      <c r="AK41" s="13">
        <f t="shared" si="22"/>
        <v>0</v>
      </c>
      <c r="AL41" s="13">
        <f t="shared" si="22"/>
        <v>0</v>
      </c>
      <c r="AM41" s="13">
        <f t="shared" si="22"/>
        <v>0</v>
      </c>
      <c r="AN41" s="13">
        <f t="shared" si="22"/>
        <v>0</v>
      </c>
      <c r="AO41" s="13">
        <f t="shared" si="22"/>
        <v>0</v>
      </c>
      <c r="AP41" s="13">
        <f t="shared" si="22"/>
        <v>0</v>
      </c>
      <c r="AQ41" s="13">
        <f t="shared" si="22"/>
        <v>0</v>
      </c>
      <c r="AR41" s="13">
        <f t="shared" si="22"/>
        <v>0</v>
      </c>
      <c r="AS41" s="13">
        <f t="shared" si="21"/>
        <v>0</v>
      </c>
      <c r="AT41" s="13">
        <f t="shared" si="21"/>
        <v>0</v>
      </c>
      <c r="AU41" s="13">
        <f t="shared" si="21"/>
        <v>0</v>
      </c>
      <c r="AV41" s="13">
        <f t="shared" si="21"/>
        <v>0</v>
      </c>
      <c r="AW41" s="13">
        <f t="shared" si="21"/>
        <v>0</v>
      </c>
      <c r="AX41" s="13">
        <f t="shared" si="21"/>
        <v>0</v>
      </c>
      <c r="AY41" s="13">
        <f t="shared" si="21"/>
        <v>0</v>
      </c>
      <c r="AZ41" s="13">
        <f t="shared" si="21"/>
        <v>0</v>
      </c>
    </row>
    <row r="42" spans="1:52" x14ac:dyDescent="0.35">
      <c r="A42" s="13" t="s">
        <v>34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AB42" s="12" t="s">
        <v>51</v>
      </c>
      <c r="AC42" s="13">
        <f t="shared" si="22"/>
        <v>0</v>
      </c>
      <c r="AD42" s="13">
        <f t="shared" si="21"/>
        <v>0</v>
      </c>
      <c r="AE42" s="13">
        <f t="shared" si="21"/>
        <v>0</v>
      </c>
      <c r="AF42" s="13">
        <f t="shared" si="21"/>
        <v>0</v>
      </c>
      <c r="AG42" s="13">
        <f t="shared" si="21"/>
        <v>0</v>
      </c>
      <c r="AH42" s="13">
        <f t="shared" si="21"/>
        <v>0</v>
      </c>
      <c r="AI42" s="13">
        <f t="shared" si="21"/>
        <v>0</v>
      </c>
      <c r="AJ42" s="13">
        <f t="shared" si="21"/>
        <v>0</v>
      </c>
      <c r="AK42" s="13">
        <f t="shared" si="21"/>
        <v>0</v>
      </c>
      <c r="AL42" s="13">
        <f t="shared" si="21"/>
        <v>0</v>
      </c>
      <c r="AM42" s="13">
        <f t="shared" si="21"/>
        <v>0</v>
      </c>
      <c r="AN42" s="13">
        <f t="shared" si="21"/>
        <v>0</v>
      </c>
      <c r="AO42" s="13">
        <f t="shared" si="21"/>
        <v>0</v>
      </c>
      <c r="AP42" s="13">
        <f t="shared" si="21"/>
        <v>0</v>
      </c>
      <c r="AQ42" s="13">
        <f t="shared" si="21"/>
        <v>0</v>
      </c>
      <c r="AR42" s="13">
        <f t="shared" si="21"/>
        <v>0</v>
      </c>
      <c r="AS42" s="13">
        <f t="shared" si="21"/>
        <v>0</v>
      </c>
      <c r="AT42" s="13">
        <f t="shared" si="21"/>
        <v>0</v>
      </c>
      <c r="AU42" s="13">
        <f t="shared" si="21"/>
        <v>0</v>
      </c>
      <c r="AV42" s="13">
        <f t="shared" si="21"/>
        <v>0</v>
      </c>
      <c r="AW42" s="13">
        <f t="shared" si="21"/>
        <v>0</v>
      </c>
      <c r="AX42" s="13">
        <f t="shared" si="21"/>
        <v>0</v>
      </c>
      <c r="AY42" s="13">
        <f t="shared" si="21"/>
        <v>0</v>
      </c>
      <c r="AZ42" s="13">
        <f t="shared" si="21"/>
        <v>0</v>
      </c>
    </row>
    <row r="43" spans="1:52" x14ac:dyDescent="0.35">
      <c r="AB43" s="12" t="s">
        <v>53</v>
      </c>
      <c r="AC43" s="13">
        <f t="shared" si="22"/>
        <v>0</v>
      </c>
      <c r="AD43" s="13">
        <f t="shared" si="21"/>
        <v>0</v>
      </c>
      <c r="AE43" s="13">
        <f t="shared" si="21"/>
        <v>0</v>
      </c>
      <c r="AF43" s="13">
        <f t="shared" si="21"/>
        <v>0</v>
      </c>
      <c r="AG43" s="13">
        <f t="shared" si="21"/>
        <v>0</v>
      </c>
      <c r="AH43" s="13">
        <f t="shared" si="21"/>
        <v>0</v>
      </c>
      <c r="AI43" s="13">
        <f t="shared" si="21"/>
        <v>0</v>
      </c>
      <c r="AJ43" s="13">
        <f t="shared" si="21"/>
        <v>0</v>
      </c>
      <c r="AK43" s="13">
        <f t="shared" si="21"/>
        <v>0</v>
      </c>
      <c r="AL43" s="13">
        <f t="shared" si="21"/>
        <v>0</v>
      </c>
      <c r="AM43" s="13">
        <f t="shared" si="21"/>
        <v>0</v>
      </c>
      <c r="AN43" s="13">
        <f t="shared" si="21"/>
        <v>0</v>
      </c>
      <c r="AO43" s="13">
        <f t="shared" si="21"/>
        <v>0</v>
      </c>
      <c r="AP43" s="13">
        <f t="shared" si="21"/>
        <v>0</v>
      </c>
      <c r="AQ43" s="13">
        <f t="shared" si="21"/>
        <v>0</v>
      </c>
      <c r="AR43" s="13">
        <f t="shared" si="21"/>
        <v>0</v>
      </c>
      <c r="AS43" s="13">
        <f t="shared" si="21"/>
        <v>0</v>
      </c>
      <c r="AT43" s="13">
        <f t="shared" si="21"/>
        <v>0</v>
      </c>
      <c r="AU43" s="13">
        <f t="shared" si="21"/>
        <v>0</v>
      </c>
      <c r="AV43" s="13">
        <f t="shared" si="21"/>
        <v>0</v>
      </c>
      <c r="AW43" s="13">
        <f t="shared" si="21"/>
        <v>0</v>
      </c>
      <c r="AX43" s="13">
        <f t="shared" si="21"/>
        <v>0</v>
      </c>
      <c r="AY43" s="13">
        <f t="shared" si="21"/>
        <v>0</v>
      </c>
      <c r="AZ43" s="13">
        <f t="shared" si="21"/>
        <v>0</v>
      </c>
    </row>
    <row r="44" spans="1:52" x14ac:dyDescent="0.35">
      <c r="AB44" s="12" t="s">
        <v>55</v>
      </c>
      <c r="AC44" s="13">
        <f t="shared" si="22"/>
        <v>0</v>
      </c>
      <c r="AD44" s="13">
        <f t="shared" si="21"/>
        <v>0</v>
      </c>
      <c r="AE44" s="13">
        <f t="shared" si="21"/>
        <v>0</v>
      </c>
      <c r="AF44" s="13">
        <f t="shared" si="21"/>
        <v>0</v>
      </c>
      <c r="AG44" s="13">
        <f t="shared" si="21"/>
        <v>0</v>
      </c>
      <c r="AH44" s="13">
        <f t="shared" si="21"/>
        <v>0</v>
      </c>
      <c r="AI44" s="13">
        <f t="shared" si="21"/>
        <v>0</v>
      </c>
      <c r="AJ44" s="13">
        <f t="shared" si="21"/>
        <v>0</v>
      </c>
      <c r="AK44" s="13">
        <f t="shared" si="21"/>
        <v>0</v>
      </c>
      <c r="AL44" s="13">
        <f t="shared" si="21"/>
        <v>0</v>
      </c>
      <c r="AM44" s="13">
        <f t="shared" si="21"/>
        <v>0</v>
      </c>
      <c r="AN44" s="13">
        <f t="shared" si="21"/>
        <v>0</v>
      </c>
      <c r="AO44" s="13">
        <f t="shared" si="21"/>
        <v>0</v>
      </c>
      <c r="AP44" s="13">
        <f t="shared" si="21"/>
        <v>0</v>
      </c>
      <c r="AQ44" s="13">
        <f t="shared" si="21"/>
        <v>0</v>
      </c>
      <c r="AR44" s="13">
        <f t="shared" si="21"/>
        <v>0</v>
      </c>
      <c r="AS44" s="13">
        <f t="shared" si="21"/>
        <v>0</v>
      </c>
      <c r="AT44" s="13">
        <f t="shared" si="21"/>
        <v>0</v>
      </c>
      <c r="AU44" s="13">
        <f t="shared" si="21"/>
        <v>0</v>
      </c>
      <c r="AV44" s="13">
        <f t="shared" si="21"/>
        <v>0</v>
      </c>
      <c r="AW44" s="13">
        <f t="shared" si="21"/>
        <v>0</v>
      </c>
      <c r="AX44" s="13">
        <f t="shared" si="21"/>
        <v>0</v>
      </c>
      <c r="AY44" s="13">
        <f t="shared" si="21"/>
        <v>0</v>
      </c>
      <c r="AZ44" s="13">
        <f t="shared" si="21"/>
        <v>0</v>
      </c>
    </row>
    <row r="45" spans="1:52" x14ac:dyDescent="0.35">
      <c r="AB45" s="12" t="s">
        <v>57</v>
      </c>
      <c r="AC45" s="13">
        <f t="shared" si="22"/>
        <v>0</v>
      </c>
      <c r="AD45" s="13">
        <f t="shared" si="21"/>
        <v>0</v>
      </c>
      <c r="AE45" s="13">
        <f t="shared" si="21"/>
        <v>0</v>
      </c>
      <c r="AF45" s="13">
        <f t="shared" si="21"/>
        <v>0</v>
      </c>
      <c r="AG45" s="13">
        <f t="shared" si="21"/>
        <v>0</v>
      </c>
      <c r="AH45" s="13">
        <f t="shared" si="21"/>
        <v>0</v>
      </c>
      <c r="AI45" s="13">
        <f t="shared" si="21"/>
        <v>0</v>
      </c>
      <c r="AJ45" s="13">
        <f t="shared" si="21"/>
        <v>0</v>
      </c>
      <c r="AK45" s="13">
        <f t="shared" si="21"/>
        <v>0</v>
      </c>
      <c r="AL45" s="13">
        <f t="shared" si="21"/>
        <v>0</v>
      </c>
      <c r="AM45" s="13">
        <f t="shared" si="21"/>
        <v>0</v>
      </c>
      <c r="AN45" s="13">
        <f t="shared" si="21"/>
        <v>0</v>
      </c>
      <c r="AO45" s="13">
        <f t="shared" si="21"/>
        <v>0</v>
      </c>
      <c r="AP45" s="13">
        <f t="shared" si="21"/>
        <v>0</v>
      </c>
      <c r="AQ45" s="13">
        <f t="shared" si="21"/>
        <v>0</v>
      </c>
      <c r="AR45" s="13">
        <f t="shared" si="21"/>
        <v>0</v>
      </c>
      <c r="AS45" s="13">
        <f t="shared" si="21"/>
        <v>0</v>
      </c>
      <c r="AT45" s="13">
        <f t="shared" si="21"/>
        <v>0</v>
      </c>
      <c r="AU45" s="13">
        <f t="shared" si="21"/>
        <v>0</v>
      </c>
      <c r="AV45" s="13">
        <f t="shared" si="21"/>
        <v>0</v>
      </c>
      <c r="AW45" s="13">
        <f t="shared" si="21"/>
        <v>0</v>
      </c>
      <c r="AX45" s="13">
        <f t="shared" si="21"/>
        <v>0</v>
      </c>
      <c r="AY45" s="13">
        <f t="shared" si="21"/>
        <v>0</v>
      </c>
      <c r="AZ45" s="13">
        <f t="shared" si="21"/>
        <v>0</v>
      </c>
    </row>
    <row r="46" spans="1:52" x14ac:dyDescent="0.35">
      <c r="A46" t="s">
        <v>57</v>
      </c>
      <c r="AB46" s="12" t="s">
        <v>59</v>
      </c>
      <c r="AC46" s="13">
        <f t="shared" si="22"/>
        <v>304.69266136507667</v>
      </c>
      <c r="AD46" s="13">
        <f t="shared" si="21"/>
        <v>400</v>
      </c>
      <c r="AE46" s="13">
        <f t="shared" si="21"/>
        <v>400</v>
      </c>
      <c r="AF46" s="13">
        <f t="shared" si="21"/>
        <v>0</v>
      </c>
      <c r="AG46" s="13">
        <f t="shared" si="21"/>
        <v>0</v>
      </c>
      <c r="AH46" s="13">
        <f t="shared" si="21"/>
        <v>0</v>
      </c>
      <c r="AI46" s="13">
        <f t="shared" si="21"/>
        <v>0</v>
      </c>
      <c r="AJ46" s="13">
        <f t="shared" si="21"/>
        <v>0</v>
      </c>
      <c r="AK46" s="13">
        <f t="shared" si="21"/>
        <v>100</v>
      </c>
      <c r="AL46" s="13">
        <f t="shared" si="21"/>
        <v>400</v>
      </c>
      <c r="AM46" s="13">
        <f t="shared" si="21"/>
        <v>400</v>
      </c>
      <c r="AN46" s="13">
        <f t="shared" si="21"/>
        <v>275.00000000000011</v>
      </c>
      <c r="AO46" s="13">
        <f t="shared" si="21"/>
        <v>100</v>
      </c>
      <c r="AP46" s="13">
        <f t="shared" si="21"/>
        <v>400</v>
      </c>
      <c r="AQ46" s="13">
        <f t="shared" si="21"/>
        <v>400</v>
      </c>
      <c r="AR46" s="13">
        <f t="shared" si="21"/>
        <v>400.00000000000011</v>
      </c>
      <c r="AS46" s="13">
        <f t="shared" si="21"/>
        <v>400.00000000000011</v>
      </c>
      <c r="AT46" s="13">
        <f t="shared" si="21"/>
        <v>400.00000000000011</v>
      </c>
      <c r="AU46" s="13">
        <f t="shared" si="21"/>
        <v>400.00000000000011</v>
      </c>
      <c r="AV46" s="13">
        <f t="shared" si="21"/>
        <v>400.00000000000011</v>
      </c>
      <c r="AW46" s="13">
        <f t="shared" si="21"/>
        <v>100</v>
      </c>
      <c r="AX46" s="13">
        <f t="shared" si="21"/>
        <v>300</v>
      </c>
      <c r="AY46" s="13">
        <f t="shared" si="21"/>
        <v>300</v>
      </c>
      <c r="AZ46" s="13">
        <f t="shared" si="21"/>
        <v>0</v>
      </c>
    </row>
    <row r="47" spans="1:52" x14ac:dyDescent="0.35">
      <c r="A47" s="23" t="s">
        <v>40</v>
      </c>
      <c r="B47" s="22" t="s">
        <v>10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52" x14ac:dyDescent="0.35">
      <c r="A48" s="23"/>
      <c r="B48" s="12">
        <v>1</v>
      </c>
      <c r="C48" s="12">
        <v>2</v>
      </c>
      <c r="D48" s="12">
        <v>3</v>
      </c>
      <c r="E48" s="12">
        <v>4</v>
      </c>
      <c r="F48" s="12">
        <v>5</v>
      </c>
      <c r="G48" s="12">
        <v>6</v>
      </c>
      <c r="H48" s="12">
        <v>7</v>
      </c>
      <c r="I48" s="12">
        <v>8</v>
      </c>
      <c r="J48" s="12">
        <v>9</v>
      </c>
      <c r="K48" s="12">
        <v>10</v>
      </c>
      <c r="L48" s="12">
        <v>11</v>
      </c>
      <c r="M48" s="12">
        <v>12</v>
      </c>
      <c r="N48" s="12">
        <v>13</v>
      </c>
      <c r="O48" s="12">
        <v>14</v>
      </c>
      <c r="P48" s="12">
        <v>15</v>
      </c>
      <c r="Q48" s="12">
        <v>16</v>
      </c>
      <c r="R48" s="12">
        <v>17</v>
      </c>
      <c r="S48" s="12">
        <v>18</v>
      </c>
      <c r="T48" s="12">
        <v>19</v>
      </c>
      <c r="U48" s="12">
        <v>20</v>
      </c>
      <c r="V48" s="12">
        <v>21</v>
      </c>
      <c r="W48" s="12">
        <v>22</v>
      </c>
      <c r="X48" s="12">
        <v>23</v>
      </c>
      <c r="Y48" s="12">
        <v>24</v>
      </c>
    </row>
    <row r="49" spans="1:52" x14ac:dyDescent="0.35">
      <c r="A49" s="13" t="s">
        <v>39</v>
      </c>
      <c r="B49" s="13">
        <v>49647</v>
      </c>
      <c r="C49" s="13">
        <v>42690</v>
      </c>
      <c r="D49" s="13">
        <v>42690</v>
      </c>
      <c r="E49" s="13">
        <v>42690</v>
      </c>
      <c r="F49" s="13">
        <v>42690</v>
      </c>
      <c r="G49" s="13">
        <v>42690</v>
      </c>
      <c r="H49" s="13">
        <v>42690</v>
      </c>
      <c r="I49" s="13">
        <v>42690</v>
      </c>
      <c r="J49" s="13">
        <v>42690</v>
      </c>
      <c r="K49" s="13">
        <v>42690</v>
      </c>
      <c r="L49" s="13">
        <v>42690</v>
      </c>
      <c r="M49" s="13">
        <v>42690</v>
      </c>
      <c r="N49" s="13">
        <v>42690</v>
      </c>
      <c r="O49" s="13">
        <v>42690</v>
      </c>
      <c r="P49" s="13">
        <v>42690</v>
      </c>
      <c r="Q49" s="13">
        <v>42690</v>
      </c>
      <c r="R49" s="13">
        <v>42690</v>
      </c>
      <c r="S49" s="13">
        <v>42690</v>
      </c>
      <c r="T49" s="13">
        <v>42690</v>
      </c>
      <c r="U49" s="13">
        <v>42690</v>
      </c>
      <c r="V49" s="13">
        <v>42690</v>
      </c>
      <c r="W49" s="13">
        <v>42690</v>
      </c>
      <c r="X49" s="13">
        <v>42690</v>
      </c>
      <c r="Y49" s="13">
        <v>42690</v>
      </c>
      <c r="AB49" t="s">
        <v>60</v>
      </c>
    </row>
    <row r="50" spans="1:52" x14ac:dyDescent="0.35">
      <c r="A50" s="13" t="s">
        <v>32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AB50" s="21" t="s">
        <v>0</v>
      </c>
      <c r="AC50" s="22" t="s">
        <v>10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</row>
    <row r="51" spans="1:52" x14ac:dyDescent="0.35">
      <c r="A51" s="13" t="s">
        <v>34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AB51" s="21"/>
      <c r="AC51" s="12">
        <v>1</v>
      </c>
      <c r="AD51" s="12">
        <v>2</v>
      </c>
      <c r="AE51" s="12">
        <v>3</v>
      </c>
      <c r="AF51" s="12">
        <v>4</v>
      </c>
      <c r="AG51" s="12">
        <v>5</v>
      </c>
      <c r="AH51" s="12">
        <v>6</v>
      </c>
      <c r="AI51" s="12">
        <v>7</v>
      </c>
      <c r="AJ51" s="12">
        <v>8</v>
      </c>
      <c r="AK51" s="12">
        <v>9</v>
      </c>
      <c r="AL51" s="12">
        <v>10</v>
      </c>
      <c r="AM51" s="12">
        <v>11</v>
      </c>
      <c r="AN51" s="12">
        <v>12</v>
      </c>
      <c r="AO51" s="12">
        <v>13</v>
      </c>
      <c r="AP51" s="12">
        <v>14</v>
      </c>
      <c r="AQ51" s="12">
        <v>15</v>
      </c>
      <c r="AR51" s="12">
        <v>16</v>
      </c>
      <c r="AS51" s="12">
        <v>17</v>
      </c>
      <c r="AT51" s="12">
        <v>18</v>
      </c>
      <c r="AU51" s="12">
        <v>19</v>
      </c>
      <c r="AV51" s="12">
        <v>20</v>
      </c>
      <c r="AW51" s="12">
        <v>21</v>
      </c>
      <c r="AX51" s="12">
        <v>22</v>
      </c>
      <c r="AY51" s="12">
        <v>23</v>
      </c>
      <c r="AZ51" s="12">
        <v>24</v>
      </c>
    </row>
    <row r="52" spans="1:52" x14ac:dyDescent="0.35">
      <c r="AB52" s="12" t="s">
        <v>7</v>
      </c>
      <c r="AC52" s="13">
        <f t="shared" ref="AC52:AZ52" si="23">AC4+AC16+AC28</f>
        <v>32565</v>
      </c>
      <c r="AD52" s="13">
        <f t="shared" si="23"/>
        <v>32565</v>
      </c>
      <c r="AE52" s="13">
        <f t="shared" si="23"/>
        <v>32565</v>
      </c>
      <c r="AF52" s="13">
        <f t="shared" si="23"/>
        <v>32565</v>
      </c>
      <c r="AG52" s="13">
        <f t="shared" si="23"/>
        <v>32565</v>
      </c>
      <c r="AH52" s="13">
        <f t="shared" si="23"/>
        <v>32565</v>
      </c>
      <c r="AI52" s="13">
        <f t="shared" si="23"/>
        <v>32565</v>
      </c>
      <c r="AJ52" s="13">
        <f t="shared" si="23"/>
        <v>32565</v>
      </c>
      <c r="AK52" s="13">
        <f t="shared" si="23"/>
        <v>32565</v>
      </c>
      <c r="AL52" s="13">
        <f t="shared" si="23"/>
        <v>39522</v>
      </c>
      <c r="AM52" s="13">
        <f t="shared" si="23"/>
        <v>39522</v>
      </c>
      <c r="AN52" s="13">
        <f t="shared" si="23"/>
        <v>39522</v>
      </c>
      <c r="AO52" s="13">
        <f t="shared" si="23"/>
        <v>39522</v>
      </c>
      <c r="AP52" s="13">
        <f t="shared" si="23"/>
        <v>39522</v>
      </c>
      <c r="AQ52" s="13">
        <f t="shared" si="23"/>
        <v>39522</v>
      </c>
      <c r="AR52" s="13">
        <f t="shared" si="23"/>
        <v>39522</v>
      </c>
      <c r="AS52" s="13">
        <f t="shared" si="23"/>
        <v>39522</v>
      </c>
      <c r="AT52" s="13">
        <f t="shared" si="23"/>
        <v>39522</v>
      </c>
      <c r="AU52" s="13">
        <f t="shared" si="23"/>
        <v>39522</v>
      </c>
      <c r="AV52" s="13">
        <f t="shared" si="23"/>
        <v>39522</v>
      </c>
      <c r="AW52" s="13">
        <f t="shared" si="23"/>
        <v>39522</v>
      </c>
      <c r="AX52" s="13">
        <f t="shared" si="23"/>
        <v>39522</v>
      </c>
      <c r="AY52" s="13">
        <f t="shared" si="23"/>
        <v>39522</v>
      </c>
      <c r="AZ52" s="13">
        <f t="shared" si="23"/>
        <v>32565</v>
      </c>
    </row>
    <row r="53" spans="1:52" x14ac:dyDescent="0.35">
      <c r="AB53" s="12" t="s">
        <v>49</v>
      </c>
      <c r="AC53" s="13">
        <f t="shared" ref="AC53:AZ53" si="24">AC5+AC17+AC29</f>
        <v>35400</v>
      </c>
      <c r="AD53" s="13">
        <f t="shared" si="24"/>
        <v>35400</v>
      </c>
      <c r="AE53" s="13">
        <f t="shared" si="24"/>
        <v>35400</v>
      </c>
      <c r="AF53" s="13">
        <f t="shared" si="24"/>
        <v>35400</v>
      </c>
      <c r="AG53" s="13">
        <f t="shared" si="24"/>
        <v>35400</v>
      </c>
      <c r="AH53" s="13">
        <f t="shared" si="24"/>
        <v>35400</v>
      </c>
      <c r="AI53" s="13">
        <f t="shared" si="24"/>
        <v>35400</v>
      </c>
      <c r="AJ53" s="13">
        <f t="shared" si="24"/>
        <v>35400</v>
      </c>
      <c r="AK53" s="13">
        <f t="shared" si="24"/>
        <v>35400</v>
      </c>
      <c r="AL53" s="13">
        <f t="shared" si="24"/>
        <v>35400</v>
      </c>
      <c r="AM53" s="13">
        <f t="shared" si="24"/>
        <v>36180</v>
      </c>
      <c r="AN53" s="13">
        <f t="shared" si="24"/>
        <v>36180</v>
      </c>
      <c r="AO53" s="13">
        <f t="shared" si="24"/>
        <v>36180</v>
      </c>
      <c r="AP53" s="13">
        <f t="shared" si="24"/>
        <v>36180</v>
      </c>
      <c r="AQ53" s="13">
        <f t="shared" si="24"/>
        <v>36180</v>
      </c>
      <c r="AR53" s="13">
        <f t="shared" si="24"/>
        <v>36180</v>
      </c>
      <c r="AS53" s="13">
        <f t="shared" si="24"/>
        <v>36180</v>
      </c>
      <c r="AT53" s="13">
        <f t="shared" si="24"/>
        <v>36180</v>
      </c>
      <c r="AU53" s="13">
        <f t="shared" si="24"/>
        <v>36828</v>
      </c>
      <c r="AV53" s="13">
        <f t="shared" si="24"/>
        <v>36828</v>
      </c>
      <c r="AW53" s="13">
        <f t="shared" si="24"/>
        <v>36180</v>
      </c>
      <c r="AX53" s="13">
        <f t="shared" si="24"/>
        <v>36180</v>
      </c>
      <c r="AY53" s="13">
        <f t="shared" si="24"/>
        <v>35400</v>
      </c>
      <c r="AZ53" s="13">
        <f t="shared" si="24"/>
        <v>35400</v>
      </c>
    </row>
    <row r="54" spans="1:52" x14ac:dyDescent="0.35">
      <c r="AB54" s="12" t="s">
        <v>51</v>
      </c>
      <c r="AC54" s="13">
        <f t="shared" ref="AC54:AZ54" si="25">AC6+AC18+AC30</f>
        <v>35400</v>
      </c>
      <c r="AD54" s="13">
        <f t="shared" si="25"/>
        <v>35400</v>
      </c>
      <c r="AE54" s="13">
        <f t="shared" si="25"/>
        <v>35400</v>
      </c>
      <c r="AF54" s="13">
        <f t="shared" si="25"/>
        <v>35400</v>
      </c>
      <c r="AG54" s="13">
        <f t="shared" si="25"/>
        <v>35400</v>
      </c>
      <c r="AH54" s="13">
        <f t="shared" si="25"/>
        <v>35400</v>
      </c>
      <c r="AI54" s="13">
        <f t="shared" si="25"/>
        <v>35400</v>
      </c>
      <c r="AJ54" s="13">
        <f t="shared" si="25"/>
        <v>35400</v>
      </c>
      <c r="AK54" s="13">
        <f t="shared" si="25"/>
        <v>35400</v>
      </c>
      <c r="AL54" s="13">
        <f t="shared" si="25"/>
        <v>35400</v>
      </c>
      <c r="AM54" s="13">
        <f t="shared" si="25"/>
        <v>35400</v>
      </c>
      <c r="AN54" s="13">
        <f t="shared" si="25"/>
        <v>35400</v>
      </c>
      <c r="AO54" s="13">
        <f t="shared" si="25"/>
        <v>35400</v>
      </c>
      <c r="AP54" s="13">
        <f t="shared" si="25"/>
        <v>35400</v>
      </c>
      <c r="AQ54" s="13">
        <f t="shared" si="25"/>
        <v>36048</v>
      </c>
      <c r="AR54" s="13">
        <f t="shared" si="25"/>
        <v>36048</v>
      </c>
      <c r="AS54" s="13">
        <f t="shared" si="25"/>
        <v>35400</v>
      </c>
      <c r="AT54" s="13">
        <f t="shared" si="25"/>
        <v>35400</v>
      </c>
      <c r="AU54" s="13">
        <f t="shared" si="25"/>
        <v>35400</v>
      </c>
      <c r="AV54" s="13">
        <f t="shared" si="25"/>
        <v>35400</v>
      </c>
      <c r="AW54" s="13">
        <f t="shared" si="25"/>
        <v>35400</v>
      </c>
      <c r="AX54" s="13">
        <f t="shared" si="25"/>
        <v>35400</v>
      </c>
      <c r="AY54" s="13">
        <f t="shared" si="25"/>
        <v>35400</v>
      </c>
      <c r="AZ54" s="13">
        <f t="shared" si="25"/>
        <v>35400</v>
      </c>
    </row>
    <row r="55" spans="1:52" x14ac:dyDescent="0.35">
      <c r="A55" t="s">
        <v>59</v>
      </c>
      <c r="AB55" s="12" t="s">
        <v>53</v>
      </c>
      <c r="AC55" s="13">
        <f t="shared" ref="AC55:AZ55" si="26">AC7+AC19+AC31</f>
        <v>49647</v>
      </c>
      <c r="AD55" s="13">
        <f t="shared" si="26"/>
        <v>42690</v>
      </c>
      <c r="AE55" s="13">
        <f t="shared" si="26"/>
        <v>42690</v>
      </c>
      <c r="AF55" s="13">
        <f t="shared" si="26"/>
        <v>42690</v>
      </c>
      <c r="AG55" s="13">
        <f t="shared" si="26"/>
        <v>42690</v>
      </c>
      <c r="AH55" s="13">
        <f t="shared" si="26"/>
        <v>42690</v>
      </c>
      <c r="AI55" s="13">
        <f t="shared" si="26"/>
        <v>42690</v>
      </c>
      <c r="AJ55" s="13">
        <f t="shared" si="26"/>
        <v>42690</v>
      </c>
      <c r="AK55" s="13">
        <f t="shared" si="26"/>
        <v>42690</v>
      </c>
      <c r="AL55" s="13">
        <f t="shared" si="26"/>
        <v>42690</v>
      </c>
      <c r="AM55" s="13">
        <f t="shared" si="26"/>
        <v>42690</v>
      </c>
      <c r="AN55" s="13">
        <f t="shared" si="26"/>
        <v>42690</v>
      </c>
      <c r="AO55" s="13">
        <f t="shared" si="26"/>
        <v>42690</v>
      </c>
      <c r="AP55" s="13">
        <f t="shared" si="26"/>
        <v>42690</v>
      </c>
      <c r="AQ55" s="13">
        <f t="shared" si="26"/>
        <v>42690</v>
      </c>
      <c r="AR55" s="13">
        <f t="shared" si="26"/>
        <v>42690</v>
      </c>
      <c r="AS55" s="13">
        <f t="shared" si="26"/>
        <v>42690</v>
      </c>
      <c r="AT55" s="13">
        <f t="shared" si="26"/>
        <v>42690</v>
      </c>
      <c r="AU55" s="13">
        <f t="shared" si="26"/>
        <v>42690</v>
      </c>
      <c r="AV55" s="13">
        <f t="shared" si="26"/>
        <v>42690</v>
      </c>
      <c r="AW55" s="13">
        <f t="shared" si="26"/>
        <v>42690</v>
      </c>
      <c r="AX55" s="13">
        <f t="shared" si="26"/>
        <v>42690</v>
      </c>
      <c r="AY55" s="13">
        <f t="shared" si="26"/>
        <v>42690</v>
      </c>
      <c r="AZ55" s="13">
        <f t="shared" si="26"/>
        <v>42690</v>
      </c>
    </row>
    <row r="56" spans="1:52" x14ac:dyDescent="0.35">
      <c r="A56" s="23" t="s">
        <v>40</v>
      </c>
      <c r="B56" s="22" t="s">
        <v>10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AB56" s="12" t="s">
        <v>55</v>
      </c>
      <c r="AC56" s="13">
        <f t="shared" ref="AC56:AZ56" si="27">AC8+AC20+AC32</f>
        <v>49647</v>
      </c>
      <c r="AD56" s="13">
        <f t="shared" si="27"/>
        <v>42690</v>
      </c>
      <c r="AE56" s="13">
        <f t="shared" si="27"/>
        <v>42690</v>
      </c>
      <c r="AF56" s="13">
        <f t="shared" si="27"/>
        <v>42690</v>
      </c>
      <c r="AG56" s="13">
        <f t="shared" si="27"/>
        <v>42690</v>
      </c>
      <c r="AH56" s="13">
        <f t="shared" si="27"/>
        <v>42690</v>
      </c>
      <c r="AI56" s="13">
        <f t="shared" si="27"/>
        <v>42690</v>
      </c>
      <c r="AJ56" s="13">
        <f t="shared" si="27"/>
        <v>42690</v>
      </c>
      <c r="AK56" s="13">
        <f t="shared" si="27"/>
        <v>42690</v>
      </c>
      <c r="AL56" s="13">
        <f t="shared" si="27"/>
        <v>42690</v>
      </c>
      <c r="AM56" s="13">
        <f t="shared" si="27"/>
        <v>42690</v>
      </c>
      <c r="AN56" s="13">
        <f t="shared" si="27"/>
        <v>42690</v>
      </c>
      <c r="AO56" s="13">
        <f t="shared" si="27"/>
        <v>42690</v>
      </c>
      <c r="AP56" s="13">
        <f t="shared" si="27"/>
        <v>42690</v>
      </c>
      <c r="AQ56" s="13">
        <f t="shared" si="27"/>
        <v>42690</v>
      </c>
      <c r="AR56" s="13">
        <f t="shared" si="27"/>
        <v>42690</v>
      </c>
      <c r="AS56" s="13">
        <f t="shared" si="27"/>
        <v>42690</v>
      </c>
      <c r="AT56" s="13">
        <f t="shared" si="27"/>
        <v>42690</v>
      </c>
      <c r="AU56" s="13">
        <f t="shared" si="27"/>
        <v>42690</v>
      </c>
      <c r="AV56" s="13">
        <f t="shared" si="27"/>
        <v>42690</v>
      </c>
      <c r="AW56" s="13">
        <f t="shared" si="27"/>
        <v>42690</v>
      </c>
      <c r="AX56" s="13">
        <f t="shared" si="27"/>
        <v>42690</v>
      </c>
      <c r="AY56" s="13">
        <f t="shared" si="27"/>
        <v>42690</v>
      </c>
      <c r="AZ56" s="13">
        <f t="shared" si="27"/>
        <v>42690</v>
      </c>
    </row>
    <row r="57" spans="1:52" x14ac:dyDescent="0.35">
      <c r="A57" s="23"/>
      <c r="B57" s="12">
        <v>1</v>
      </c>
      <c r="C57" s="12">
        <v>2</v>
      </c>
      <c r="D57" s="12">
        <v>3</v>
      </c>
      <c r="E57" s="12">
        <v>4</v>
      </c>
      <c r="F57" s="12">
        <v>5</v>
      </c>
      <c r="G57" s="12">
        <v>6</v>
      </c>
      <c r="H57" s="12">
        <v>7</v>
      </c>
      <c r="I57" s="12">
        <v>8</v>
      </c>
      <c r="J57" s="12">
        <v>9</v>
      </c>
      <c r="K57" s="12">
        <v>10</v>
      </c>
      <c r="L57" s="12">
        <v>11</v>
      </c>
      <c r="M57" s="12">
        <v>12</v>
      </c>
      <c r="N57" s="12">
        <v>13</v>
      </c>
      <c r="O57" s="12">
        <v>14</v>
      </c>
      <c r="P57" s="12">
        <v>15</v>
      </c>
      <c r="Q57" s="12">
        <v>16</v>
      </c>
      <c r="R57" s="12">
        <v>17</v>
      </c>
      <c r="S57" s="12">
        <v>18</v>
      </c>
      <c r="T57" s="12">
        <v>19</v>
      </c>
      <c r="U57" s="12">
        <v>20</v>
      </c>
      <c r="V57" s="12">
        <v>21</v>
      </c>
      <c r="W57" s="12">
        <v>22</v>
      </c>
      <c r="X57" s="12">
        <v>23</v>
      </c>
      <c r="Y57" s="12">
        <v>24</v>
      </c>
      <c r="AB57" s="12" t="s">
        <v>57</v>
      </c>
      <c r="AC57" s="13">
        <f t="shared" ref="AC57:AZ57" si="28">AC9+AC21+AC33</f>
        <v>49647</v>
      </c>
      <c r="AD57" s="13">
        <f t="shared" si="28"/>
        <v>42690</v>
      </c>
      <c r="AE57" s="13">
        <f t="shared" si="28"/>
        <v>42690</v>
      </c>
      <c r="AF57" s="13">
        <f t="shared" si="28"/>
        <v>42690</v>
      </c>
      <c r="AG57" s="13">
        <f t="shared" si="28"/>
        <v>42690</v>
      </c>
      <c r="AH57" s="13">
        <f t="shared" si="28"/>
        <v>42690</v>
      </c>
      <c r="AI57" s="13">
        <f t="shared" si="28"/>
        <v>42690</v>
      </c>
      <c r="AJ57" s="13">
        <f t="shared" si="28"/>
        <v>42690</v>
      </c>
      <c r="AK57" s="13">
        <f t="shared" si="28"/>
        <v>42690</v>
      </c>
      <c r="AL57" s="13">
        <f t="shared" si="28"/>
        <v>42690</v>
      </c>
      <c r="AM57" s="13">
        <f t="shared" si="28"/>
        <v>42690</v>
      </c>
      <c r="AN57" s="13">
        <f t="shared" si="28"/>
        <v>42690</v>
      </c>
      <c r="AO57" s="13">
        <f t="shared" si="28"/>
        <v>42690</v>
      </c>
      <c r="AP57" s="13">
        <f t="shared" si="28"/>
        <v>42690</v>
      </c>
      <c r="AQ57" s="13">
        <f t="shared" si="28"/>
        <v>42690</v>
      </c>
      <c r="AR57" s="13">
        <f t="shared" si="28"/>
        <v>42690</v>
      </c>
      <c r="AS57" s="13">
        <f t="shared" si="28"/>
        <v>42690</v>
      </c>
      <c r="AT57" s="13">
        <f t="shared" si="28"/>
        <v>42690</v>
      </c>
      <c r="AU57" s="13">
        <f t="shared" si="28"/>
        <v>42690</v>
      </c>
      <c r="AV57" s="13">
        <f t="shared" si="28"/>
        <v>42690</v>
      </c>
      <c r="AW57" s="13">
        <f t="shared" si="28"/>
        <v>42690</v>
      </c>
      <c r="AX57" s="13">
        <f t="shared" si="28"/>
        <v>42690</v>
      </c>
      <c r="AY57" s="13">
        <f t="shared" si="28"/>
        <v>42690</v>
      </c>
      <c r="AZ57" s="13">
        <f t="shared" si="28"/>
        <v>42690</v>
      </c>
    </row>
    <row r="58" spans="1:52" x14ac:dyDescent="0.35">
      <c r="A58" s="13" t="s">
        <v>39</v>
      </c>
      <c r="B58" s="13">
        <v>49647</v>
      </c>
      <c r="C58" s="13">
        <v>42690</v>
      </c>
      <c r="D58" s="13">
        <v>42690</v>
      </c>
      <c r="E58" s="13">
        <v>42690</v>
      </c>
      <c r="F58" s="13">
        <v>42690</v>
      </c>
      <c r="G58" s="13">
        <v>42690</v>
      </c>
      <c r="H58" s="13">
        <v>42690</v>
      </c>
      <c r="I58" s="13">
        <v>42690</v>
      </c>
      <c r="J58" s="13">
        <v>42690</v>
      </c>
      <c r="K58" s="13">
        <v>42690</v>
      </c>
      <c r="L58" s="13">
        <v>42690</v>
      </c>
      <c r="M58" s="13">
        <v>42690</v>
      </c>
      <c r="N58" s="13">
        <v>42690</v>
      </c>
      <c r="O58" s="13">
        <v>42690</v>
      </c>
      <c r="P58" s="13">
        <v>42690</v>
      </c>
      <c r="Q58" s="13">
        <v>42690</v>
      </c>
      <c r="R58" s="13">
        <v>42690</v>
      </c>
      <c r="S58" s="13">
        <v>42690</v>
      </c>
      <c r="T58" s="13">
        <v>42690</v>
      </c>
      <c r="U58" s="13">
        <v>42690</v>
      </c>
      <c r="V58" s="13">
        <v>42690</v>
      </c>
      <c r="W58" s="13">
        <v>42690</v>
      </c>
      <c r="X58" s="13">
        <v>42690</v>
      </c>
      <c r="Y58" s="13">
        <v>42690</v>
      </c>
      <c r="AB58" s="12" t="s">
        <v>59</v>
      </c>
      <c r="AC58" s="13">
        <f t="shared" ref="AC58:AZ58" si="29">AC10+AC22+AC34</f>
        <v>49951.692661365079</v>
      </c>
      <c r="AD58" s="13">
        <f t="shared" si="29"/>
        <v>43090</v>
      </c>
      <c r="AE58" s="13">
        <f t="shared" si="29"/>
        <v>43090</v>
      </c>
      <c r="AF58" s="13">
        <f t="shared" si="29"/>
        <v>42690</v>
      </c>
      <c r="AG58" s="13">
        <f t="shared" si="29"/>
        <v>42690</v>
      </c>
      <c r="AH58" s="13">
        <f t="shared" si="29"/>
        <v>42690</v>
      </c>
      <c r="AI58" s="13">
        <f t="shared" si="29"/>
        <v>42690</v>
      </c>
      <c r="AJ58" s="13">
        <f t="shared" si="29"/>
        <v>42690</v>
      </c>
      <c r="AK58" s="13">
        <f t="shared" si="29"/>
        <v>42790</v>
      </c>
      <c r="AL58" s="13">
        <f t="shared" si="29"/>
        <v>43090</v>
      </c>
      <c r="AM58" s="13">
        <f t="shared" si="29"/>
        <v>43090</v>
      </c>
      <c r="AN58" s="13">
        <f t="shared" si="29"/>
        <v>42965</v>
      </c>
      <c r="AO58" s="13">
        <f t="shared" si="29"/>
        <v>42790</v>
      </c>
      <c r="AP58" s="13">
        <f t="shared" si="29"/>
        <v>43090</v>
      </c>
      <c r="AQ58" s="13">
        <f t="shared" si="29"/>
        <v>43090</v>
      </c>
      <c r="AR58" s="13">
        <f t="shared" si="29"/>
        <v>43090</v>
      </c>
      <c r="AS58" s="13">
        <f t="shared" si="29"/>
        <v>43090</v>
      </c>
      <c r="AT58" s="13">
        <f t="shared" si="29"/>
        <v>43090</v>
      </c>
      <c r="AU58" s="13">
        <f t="shared" si="29"/>
        <v>43090</v>
      </c>
      <c r="AV58" s="13">
        <f t="shared" si="29"/>
        <v>43090</v>
      </c>
      <c r="AW58" s="13">
        <f t="shared" si="29"/>
        <v>42790</v>
      </c>
      <c r="AX58" s="13">
        <f t="shared" si="29"/>
        <v>42990</v>
      </c>
      <c r="AY58" s="13">
        <f t="shared" si="29"/>
        <v>42990</v>
      </c>
      <c r="AZ58" s="13">
        <f t="shared" si="29"/>
        <v>42690</v>
      </c>
    </row>
    <row r="59" spans="1:52" x14ac:dyDescent="0.35">
      <c r="A59" s="13" t="s">
        <v>32</v>
      </c>
      <c r="B59" s="13">
        <v>0</v>
      </c>
      <c r="C59" s="13">
        <v>400</v>
      </c>
      <c r="D59" s="13">
        <v>400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100</v>
      </c>
      <c r="K59" s="13">
        <v>400</v>
      </c>
      <c r="L59" s="13">
        <v>400</v>
      </c>
      <c r="M59" s="13">
        <v>275.00000000000011</v>
      </c>
      <c r="N59" s="13">
        <v>100</v>
      </c>
      <c r="O59" s="13">
        <v>400</v>
      </c>
      <c r="P59" s="13">
        <v>400</v>
      </c>
      <c r="Q59" s="13">
        <v>400.00000000000011</v>
      </c>
      <c r="R59" s="13">
        <v>400.00000000000011</v>
      </c>
      <c r="S59" s="13">
        <v>400.00000000000011</v>
      </c>
      <c r="T59" s="13">
        <v>400.00000000000011</v>
      </c>
      <c r="U59" s="13">
        <v>400.00000000000011</v>
      </c>
      <c r="V59" s="13">
        <v>100</v>
      </c>
      <c r="W59" s="13">
        <v>300</v>
      </c>
      <c r="X59" s="13">
        <v>300</v>
      </c>
      <c r="Y59" s="13">
        <v>0</v>
      </c>
    </row>
    <row r="60" spans="1:52" x14ac:dyDescent="0.35">
      <c r="A60" s="13" t="s">
        <v>34</v>
      </c>
      <c r="B60" s="13">
        <v>304.69266136507667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</row>
  </sheetData>
  <mergeCells count="24">
    <mergeCell ref="A47:A48"/>
    <mergeCell ref="B47:Y47"/>
    <mergeCell ref="B2:Y2"/>
    <mergeCell ref="A2:A3"/>
    <mergeCell ref="A11:A12"/>
    <mergeCell ref="B11:Y11"/>
    <mergeCell ref="A20:A21"/>
    <mergeCell ref="B20:Y20"/>
    <mergeCell ref="AB38:AB39"/>
    <mergeCell ref="AC38:AZ38"/>
    <mergeCell ref="A56:A57"/>
    <mergeCell ref="B56:Y56"/>
    <mergeCell ref="AC2:AZ2"/>
    <mergeCell ref="AB2:AB3"/>
    <mergeCell ref="AC14:AZ14"/>
    <mergeCell ref="AB14:AB15"/>
    <mergeCell ref="AB26:AB27"/>
    <mergeCell ref="AC26:AZ26"/>
    <mergeCell ref="AB50:AB51"/>
    <mergeCell ref="AC50:AZ50"/>
    <mergeCell ref="A29:A30"/>
    <mergeCell ref="B29:Y29"/>
    <mergeCell ref="A38:A39"/>
    <mergeCell ref="B38:Y38"/>
  </mergeCells>
  <conditionalFormatting sqref="B4:Y6">
    <cfRule type="cellIs" dxfId="32" priority="13" operator="equal">
      <formula>0</formula>
    </cfRule>
  </conditionalFormatting>
  <conditionalFormatting sqref="B13:Y15">
    <cfRule type="cellIs" dxfId="31" priority="10" operator="equal">
      <formula>0</formula>
    </cfRule>
  </conditionalFormatting>
  <conditionalFormatting sqref="B22:Y24">
    <cfRule type="cellIs" dxfId="30" priority="9" operator="equal">
      <formula>0</formula>
    </cfRule>
  </conditionalFormatting>
  <conditionalFormatting sqref="B31:Y33">
    <cfRule type="cellIs" dxfId="29" priority="7" operator="equal">
      <formula>0</formula>
    </cfRule>
  </conditionalFormatting>
  <conditionalFormatting sqref="B40:Y42">
    <cfRule type="cellIs" dxfId="28" priority="5" operator="equal">
      <formula>0</formula>
    </cfRule>
  </conditionalFormatting>
  <conditionalFormatting sqref="B49:Y51">
    <cfRule type="cellIs" dxfId="27" priority="3" operator="equal">
      <formula>0</formula>
    </cfRule>
  </conditionalFormatting>
  <conditionalFormatting sqref="B58:Y60">
    <cfRule type="cellIs" dxfId="26" priority="1" operator="equal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41FF-5397-4D7A-853D-1FAC66727188}">
  <dimension ref="A1:Z130"/>
  <sheetViews>
    <sheetView topLeftCell="R110" workbookViewId="0">
      <selection activeCell="A116" sqref="A116:Z130"/>
    </sheetView>
  </sheetViews>
  <sheetFormatPr defaultRowHeight="14.5" x14ac:dyDescent="0.35"/>
  <cols>
    <col min="1" max="1" width="6.6328125" customWidth="1"/>
    <col min="2" max="26" width="8.6328125" customWidth="1"/>
  </cols>
  <sheetData>
    <row r="1" spans="1:26" x14ac:dyDescent="0.35">
      <c r="A1" t="s">
        <v>7</v>
      </c>
    </row>
    <row r="2" spans="1:26" x14ac:dyDescent="0.35">
      <c r="A2" s="21" t="s">
        <v>11</v>
      </c>
      <c r="B2" s="7"/>
      <c r="C2" s="21" t="s">
        <v>10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35">
      <c r="A3" s="21"/>
      <c r="B3" s="7"/>
      <c r="C3" s="14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</row>
    <row r="4" spans="1:26" x14ac:dyDescent="0.35">
      <c r="A4" s="6" t="s">
        <v>12</v>
      </c>
      <c r="B4" s="10" t="s">
        <v>13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8.31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</row>
    <row r="5" spans="1:26" x14ac:dyDescent="0.35">
      <c r="A5" s="6" t="s">
        <v>14</v>
      </c>
      <c r="B5" s="10" t="s">
        <v>15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</row>
    <row r="6" spans="1:26" x14ac:dyDescent="0.35">
      <c r="A6" s="6" t="s">
        <v>16</v>
      </c>
      <c r="B6" s="10" t="s">
        <v>17</v>
      </c>
      <c r="C6" s="13">
        <v>249</v>
      </c>
      <c r="D6" s="13">
        <v>129</v>
      </c>
      <c r="E6" s="13">
        <v>53.8</v>
      </c>
      <c r="F6" s="13">
        <v>141.47999999999999</v>
      </c>
      <c r="G6" s="13">
        <v>261.48</v>
      </c>
      <c r="H6" s="13">
        <v>141.47999999999999</v>
      </c>
      <c r="I6" s="13">
        <v>79.94</v>
      </c>
      <c r="J6" s="13">
        <v>120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</row>
    <row r="7" spans="1:26" x14ac:dyDescent="0.35">
      <c r="A7" s="6" t="s">
        <v>18</v>
      </c>
      <c r="B7" s="10" t="s">
        <v>19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</row>
    <row r="8" spans="1:26" x14ac:dyDescent="0.35">
      <c r="A8" s="6" t="s">
        <v>20</v>
      </c>
      <c r="B8" s="10" t="s">
        <v>21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</row>
    <row r="9" spans="1:26" x14ac:dyDescent="0.35">
      <c r="A9" s="6" t="s">
        <v>22</v>
      </c>
      <c r="B9" s="10" t="s">
        <v>23</v>
      </c>
      <c r="C9" s="13">
        <v>545</v>
      </c>
      <c r="D9" s="13">
        <v>805.83</v>
      </c>
      <c r="E9" s="13">
        <v>845</v>
      </c>
      <c r="F9" s="13">
        <v>845</v>
      </c>
      <c r="G9" s="13">
        <v>845</v>
      </c>
      <c r="H9" s="13">
        <v>845</v>
      </c>
      <c r="I9" s="13">
        <v>845</v>
      </c>
      <c r="J9" s="13">
        <v>845</v>
      </c>
      <c r="K9" s="13">
        <v>845</v>
      </c>
      <c r="L9" s="13">
        <v>698.78</v>
      </c>
      <c r="M9" s="13">
        <v>845</v>
      </c>
      <c r="N9" s="13">
        <v>845</v>
      </c>
      <c r="O9" s="13">
        <v>795.53</v>
      </c>
      <c r="P9" s="13">
        <v>845</v>
      </c>
      <c r="Q9" s="13">
        <v>845</v>
      </c>
      <c r="R9" s="13">
        <v>845</v>
      </c>
      <c r="S9" s="13">
        <v>845</v>
      </c>
      <c r="T9" s="13">
        <v>845</v>
      </c>
      <c r="U9" s="13">
        <v>845</v>
      </c>
      <c r="V9" s="13">
        <v>845</v>
      </c>
      <c r="W9" s="13">
        <v>845</v>
      </c>
      <c r="X9" s="13">
        <v>845</v>
      </c>
      <c r="Y9" s="13">
        <v>845</v>
      </c>
      <c r="Z9" s="13">
        <v>701.74</v>
      </c>
    </row>
    <row r="10" spans="1:26" x14ac:dyDescent="0.35">
      <c r="A10" s="6" t="s">
        <v>24</v>
      </c>
      <c r="B10" s="10" t="s">
        <v>25</v>
      </c>
      <c r="C10" s="13">
        <v>410.32</v>
      </c>
      <c r="D10" s="13">
        <v>562</v>
      </c>
      <c r="E10" s="13">
        <v>562</v>
      </c>
      <c r="F10" s="13">
        <v>562</v>
      </c>
      <c r="G10" s="13">
        <v>562</v>
      </c>
      <c r="H10" s="13">
        <v>562</v>
      </c>
      <c r="I10" s="13">
        <v>562</v>
      </c>
      <c r="J10" s="13">
        <v>562</v>
      </c>
      <c r="K10" s="13">
        <v>383.55</v>
      </c>
      <c r="L10" s="13">
        <v>562</v>
      </c>
      <c r="M10" s="13">
        <v>313.13</v>
      </c>
      <c r="N10" s="13">
        <v>562</v>
      </c>
      <c r="O10" s="13">
        <v>562</v>
      </c>
      <c r="P10" s="13">
        <v>562</v>
      </c>
      <c r="Q10" s="13">
        <v>262</v>
      </c>
      <c r="R10" s="13">
        <v>200.26</v>
      </c>
      <c r="S10" s="13">
        <v>262.39999999999998</v>
      </c>
      <c r="T10" s="13">
        <v>362.29</v>
      </c>
      <c r="U10" s="13">
        <v>562</v>
      </c>
      <c r="V10" s="13">
        <v>262</v>
      </c>
      <c r="W10" s="13">
        <v>562</v>
      </c>
      <c r="X10" s="13">
        <v>368.39</v>
      </c>
      <c r="Y10" s="13">
        <v>559.33000000000004</v>
      </c>
      <c r="Z10" s="13">
        <v>562</v>
      </c>
    </row>
    <row r="11" spans="1:26" x14ac:dyDescent="0.35">
      <c r="A11" s="6" t="s">
        <v>26</v>
      </c>
      <c r="B11" s="10" t="s">
        <v>27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425.15</v>
      </c>
      <c r="M11" s="13">
        <v>393.88</v>
      </c>
      <c r="N11" s="13">
        <v>93.88</v>
      </c>
      <c r="O11" s="13">
        <v>393.88</v>
      </c>
      <c r="P11" s="13">
        <v>170.19</v>
      </c>
      <c r="Q11" s="13">
        <v>318.57</v>
      </c>
      <c r="R11" s="13">
        <v>425.15</v>
      </c>
      <c r="S11" s="13">
        <v>425.15</v>
      </c>
      <c r="T11" s="13">
        <v>425.15</v>
      </c>
      <c r="U11" s="13">
        <v>173.73</v>
      </c>
      <c r="V11" s="13">
        <v>293.60000000000002</v>
      </c>
      <c r="W11" s="13">
        <v>45.32</v>
      </c>
      <c r="X11" s="13">
        <v>345.32</v>
      </c>
      <c r="Y11" s="13">
        <v>425.15</v>
      </c>
      <c r="Z11" s="13">
        <v>0</v>
      </c>
    </row>
    <row r="12" spans="1:26" x14ac:dyDescent="0.35">
      <c r="A12" s="6" t="s">
        <v>28</v>
      </c>
      <c r="B12" s="10" t="s">
        <v>29</v>
      </c>
      <c r="C12" s="13">
        <v>210</v>
      </c>
      <c r="D12" s="13">
        <v>90</v>
      </c>
      <c r="E12" s="13">
        <v>210</v>
      </c>
      <c r="F12" s="13">
        <v>202.14</v>
      </c>
      <c r="G12" s="13">
        <v>82.14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</row>
    <row r="13" spans="1:26" x14ac:dyDescent="0.35">
      <c r="A13" s="6" t="s">
        <v>30</v>
      </c>
      <c r="B13" s="10" t="s">
        <v>31</v>
      </c>
      <c r="C13" s="13">
        <v>120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</row>
    <row r="14" spans="1:26" x14ac:dyDescent="0.35">
      <c r="A14" s="6" t="s">
        <v>33</v>
      </c>
      <c r="B14" s="11" t="s">
        <v>36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</row>
    <row r="15" spans="1:26" x14ac:dyDescent="0.35">
      <c r="A15" s="6" t="s">
        <v>35</v>
      </c>
      <c r="B15" s="11" t="s">
        <v>37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</row>
    <row r="16" spans="1:26" x14ac:dyDescent="0.35">
      <c r="A16" s="6" t="s">
        <v>34</v>
      </c>
      <c r="B16" s="11" t="s">
        <v>38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</row>
    <row r="20" spans="1:26" x14ac:dyDescent="0.35">
      <c r="A20" t="s">
        <v>49</v>
      </c>
    </row>
    <row r="21" spans="1:26" x14ac:dyDescent="0.35">
      <c r="A21" s="21" t="s">
        <v>11</v>
      </c>
      <c r="B21" s="7"/>
      <c r="C21" s="21" t="s">
        <v>10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35">
      <c r="A22" s="21"/>
      <c r="B22" s="7"/>
      <c r="C22" s="14">
        <v>1</v>
      </c>
      <c r="D22" s="14">
        <v>2</v>
      </c>
      <c r="E22" s="14">
        <v>3</v>
      </c>
      <c r="F22" s="14">
        <v>4</v>
      </c>
      <c r="G22" s="14">
        <v>5</v>
      </c>
      <c r="H22" s="14">
        <v>6</v>
      </c>
      <c r="I22" s="14">
        <v>7</v>
      </c>
      <c r="J22" s="14">
        <v>8</v>
      </c>
      <c r="K22" s="14">
        <v>9</v>
      </c>
      <c r="L22" s="14">
        <v>10</v>
      </c>
      <c r="M22" s="14">
        <v>11</v>
      </c>
      <c r="N22" s="14">
        <v>12</v>
      </c>
      <c r="O22" s="14">
        <v>13</v>
      </c>
      <c r="P22" s="14">
        <v>14</v>
      </c>
      <c r="Q22" s="14">
        <v>15</v>
      </c>
      <c r="R22" s="14">
        <v>16</v>
      </c>
      <c r="S22" s="14">
        <v>17</v>
      </c>
      <c r="T22" s="14">
        <v>18</v>
      </c>
      <c r="U22" s="14">
        <v>19</v>
      </c>
      <c r="V22" s="14">
        <v>20</v>
      </c>
      <c r="W22" s="14">
        <v>21</v>
      </c>
      <c r="X22" s="14">
        <v>22</v>
      </c>
      <c r="Y22" s="14">
        <v>23</v>
      </c>
      <c r="Z22" s="14">
        <v>24</v>
      </c>
    </row>
    <row r="23" spans="1:26" x14ac:dyDescent="0.35">
      <c r="A23" s="6" t="s">
        <v>12</v>
      </c>
      <c r="B23" s="10" t="s">
        <v>13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20.309999999999999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</row>
    <row r="24" spans="1:26" x14ac:dyDescent="0.35">
      <c r="A24" s="6" t="s">
        <v>14</v>
      </c>
      <c r="B24" s="10" t="s">
        <v>15</v>
      </c>
      <c r="C24" s="13">
        <v>745.82</v>
      </c>
      <c r="D24" s="13">
        <v>785</v>
      </c>
      <c r="E24" s="13">
        <v>785</v>
      </c>
      <c r="F24" s="13">
        <v>785</v>
      </c>
      <c r="G24" s="13">
        <v>785</v>
      </c>
      <c r="H24" s="13">
        <v>785</v>
      </c>
      <c r="I24" s="13">
        <v>785</v>
      </c>
      <c r="J24" s="13">
        <v>785</v>
      </c>
      <c r="K24" s="13">
        <v>702.93</v>
      </c>
      <c r="L24" s="13">
        <v>402.93</v>
      </c>
      <c r="M24" s="13">
        <v>654.02</v>
      </c>
      <c r="N24" s="13">
        <v>359.19</v>
      </c>
      <c r="O24" s="13">
        <v>659.19</v>
      </c>
      <c r="P24" s="13">
        <v>359.19</v>
      </c>
      <c r="Q24" s="13">
        <v>587.57000000000005</v>
      </c>
      <c r="R24" s="13">
        <v>785</v>
      </c>
      <c r="S24" s="13">
        <v>785</v>
      </c>
      <c r="T24" s="13">
        <v>785</v>
      </c>
      <c r="U24" s="13">
        <v>645.13</v>
      </c>
      <c r="V24" s="13">
        <v>785</v>
      </c>
      <c r="W24" s="13">
        <v>522.4</v>
      </c>
      <c r="X24" s="13">
        <v>640.70000000000005</v>
      </c>
      <c r="Y24" s="13">
        <v>588.04</v>
      </c>
      <c r="Z24" s="13">
        <v>785</v>
      </c>
    </row>
    <row r="25" spans="1:26" x14ac:dyDescent="0.35">
      <c r="A25" s="6" t="s">
        <v>16</v>
      </c>
      <c r="B25" s="10" t="s">
        <v>17</v>
      </c>
      <c r="C25" s="13">
        <v>249</v>
      </c>
      <c r="D25" s="13">
        <v>129</v>
      </c>
      <c r="E25" s="13">
        <v>92.97</v>
      </c>
      <c r="F25" s="13">
        <v>0</v>
      </c>
      <c r="G25" s="13">
        <v>105.62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</row>
    <row r="26" spans="1:26" x14ac:dyDescent="0.35">
      <c r="A26" s="6" t="s">
        <v>18</v>
      </c>
      <c r="B26" s="10" t="s">
        <v>19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45</v>
      </c>
      <c r="N26" s="13">
        <v>45</v>
      </c>
      <c r="O26" s="13">
        <v>45</v>
      </c>
      <c r="P26" s="13">
        <v>45</v>
      </c>
      <c r="Q26" s="13">
        <v>45</v>
      </c>
      <c r="R26" s="13">
        <v>45</v>
      </c>
      <c r="S26" s="13">
        <v>45</v>
      </c>
      <c r="T26" s="13">
        <v>45</v>
      </c>
      <c r="U26" s="13">
        <v>45</v>
      </c>
      <c r="V26" s="13">
        <v>45</v>
      </c>
      <c r="W26" s="13">
        <v>45</v>
      </c>
      <c r="X26" s="13">
        <v>45</v>
      </c>
      <c r="Y26" s="13">
        <v>0</v>
      </c>
      <c r="Z26" s="13">
        <v>0</v>
      </c>
    </row>
    <row r="27" spans="1:26" x14ac:dyDescent="0.35">
      <c r="A27" s="6" t="s">
        <v>20</v>
      </c>
      <c r="B27" s="10" t="s">
        <v>21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42</v>
      </c>
      <c r="V27" s="13">
        <v>42</v>
      </c>
      <c r="W27" s="13">
        <v>0</v>
      </c>
      <c r="X27" s="13">
        <v>0</v>
      </c>
      <c r="Y27" s="13">
        <v>0</v>
      </c>
      <c r="Z27" s="13">
        <v>0</v>
      </c>
    </row>
    <row r="28" spans="1:26" x14ac:dyDescent="0.35">
      <c r="A28" s="6" t="s">
        <v>22</v>
      </c>
      <c r="B28" s="10" t="s">
        <v>23</v>
      </c>
      <c r="C28" s="13">
        <v>545</v>
      </c>
      <c r="D28" s="13">
        <v>845</v>
      </c>
      <c r="E28" s="13">
        <v>845</v>
      </c>
      <c r="F28" s="13">
        <v>845</v>
      </c>
      <c r="G28" s="13">
        <v>845</v>
      </c>
      <c r="H28" s="13">
        <v>845</v>
      </c>
      <c r="I28" s="13">
        <v>845</v>
      </c>
      <c r="J28" s="13">
        <v>845</v>
      </c>
      <c r="K28" s="13">
        <v>840.62</v>
      </c>
      <c r="L28" s="13">
        <v>845</v>
      </c>
      <c r="M28" s="13">
        <v>545</v>
      </c>
      <c r="N28" s="13">
        <v>808.7</v>
      </c>
      <c r="O28" s="13">
        <v>639.23</v>
      </c>
      <c r="P28" s="13">
        <v>845</v>
      </c>
      <c r="Q28" s="13">
        <v>545</v>
      </c>
      <c r="R28" s="13">
        <v>346</v>
      </c>
      <c r="S28" s="13">
        <v>360.96</v>
      </c>
      <c r="T28" s="13">
        <v>394.44</v>
      </c>
      <c r="U28" s="13">
        <v>608.6</v>
      </c>
      <c r="V28" s="13">
        <v>308.60000000000002</v>
      </c>
      <c r="W28" s="13">
        <v>608.6</v>
      </c>
      <c r="X28" s="13">
        <v>545</v>
      </c>
      <c r="Y28" s="13">
        <v>845</v>
      </c>
      <c r="Z28" s="13">
        <v>845</v>
      </c>
    </row>
    <row r="29" spans="1:26" x14ac:dyDescent="0.35">
      <c r="A29" s="6" t="s">
        <v>24</v>
      </c>
      <c r="B29" s="10" t="s">
        <v>25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</row>
    <row r="30" spans="1:26" x14ac:dyDescent="0.35">
      <c r="A30" s="6" t="s">
        <v>26</v>
      </c>
      <c r="B30" s="10" t="s">
        <v>27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</row>
    <row r="31" spans="1:26" x14ac:dyDescent="0.35">
      <c r="A31" s="6" t="s">
        <v>28</v>
      </c>
      <c r="B31" s="10" t="s">
        <v>29</v>
      </c>
      <c r="C31" s="13">
        <v>210</v>
      </c>
      <c r="D31" s="13">
        <v>142.83000000000001</v>
      </c>
      <c r="E31" s="13">
        <v>262.83</v>
      </c>
      <c r="F31" s="13">
        <v>330</v>
      </c>
      <c r="G31" s="13">
        <v>330</v>
      </c>
      <c r="H31" s="13">
        <v>233.48</v>
      </c>
      <c r="I31" s="13">
        <v>113.48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</row>
    <row r="32" spans="1:26" x14ac:dyDescent="0.35">
      <c r="A32" s="6" t="s">
        <v>30</v>
      </c>
      <c r="B32" s="10" t="s">
        <v>31</v>
      </c>
      <c r="C32" s="13">
        <v>120</v>
      </c>
      <c r="D32" s="13">
        <v>0</v>
      </c>
      <c r="E32" s="13">
        <v>0</v>
      </c>
      <c r="F32" s="13">
        <v>59.08</v>
      </c>
      <c r="G32" s="13">
        <v>0</v>
      </c>
      <c r="H32" s="13">
        <v>0</v>
      </c>
      <c r="I32" s="13">
        <v>0</v>
      </c>
      <c r="J32" s="13">
        <v>120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</row>
    <row r="33" spans="1:26" x14ac:dyDescent="0.35">
      <c r="A33" s="6" t="s">
        <v>33</v>
      </c>
      <c r="B33" s="11" t="s">
        <v>36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</row>
    <row r="34" spans="1:26" x14ac:dyDescent="0.35">
      <c r="A34" s="6" t="s">
        <v>35</v>
      </c>
      <c r="B34" s="11" t="s">
        <v>37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</row>
    <row r="35" spans="1:26" x14ac:dyDescent="0.35">
      <c r="A35" s="6" t="s">
        <v>34</v>
      </c>
      <c r="B35" s="11" t="s">
        <v>38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</row>
    <row r="39" spans="1:26" x14ac:dyDescent="0.35">
      <c r="A39" t="s">
        <v>51</v>
      </c>
    </row>
    <row r="40" spans="1:26" x14ac:dyDescent="0.35">
      <c r="A40" s="21" t="s">
        <v>11</v>
      </c>
      <c r="B40" s="7"/>
      <c r="C40" s="21" t="s">
        <v>10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35">
      <c r="A41" s="21"/>
      <c r="B41" s="7"/>
      <c r="C41" s="14">
        <v>1</v>
      </c>
      <c r="D41" s="14">
        <v>2</v>
      </c>
      <c r="E41" s="14">
        <v>3</v>
      </c>
      <c r="F41" s="14">
        <v>4</v>
      </c>
      <c r="G41" s="14">
        <v>5</v>
      </c>
      <c r="H41" s="14">
        <v>6</v>
      </c>
      <c r="I41" s="14">
        <v>7</v>
      </c>
      <c r="J41" s="14">
        <v>8</v>
      </c>
      <c r="K41" s="14">
        <v>9</v>
      </c>
      <c r="L41" s="14">
        <v>10</v>
      </c>
      <c r="M41" s="14">
        <v>11</v>
      </c>
      <c r="N41" s="14">
        <v>12</v>
      </c>
      <c r="O41" s="14">
        <v>13</v>
      </c>
      <c r="P41" s="14">
        <v>14</v>
      </c>
      <c r="Q41" s="14">
        <v>15</v>
      </c>
      <c r="R41" s="14">
        <v>16</v>
      </c>
      <c r="S41" s="14">
        <v>17</v>
      </c>
      <c r="T41" s="14">
        <v>18</v>
      </c>
      <c r="U41" s="14">
        <v>19</v>
      </c>
      <c r="V41" s="14">
        <v>20</v>
      </c>
      <c r="W41" s="14">
        <v>21</v>
      </c>
      <c r="X41" s="14">
        <v>22</v>
      </c>
      <c r="Y41" s="14">
        <v>23</v>
      </c>
      <c r="Z41" s="14">
        <v>24</v>
      </c>
    </row>
    <row r="42" spans="1:26" x14ac:dyDescent="0.35">
      <c r="A42" s="6" t="s">
        <v>12</v>
      </c>
      <c r="B42" s="10" t="s">
        <v>13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16.86</v>
      </c>
      <c r="I42" s="13">
        <v>121.11</v>
      </c>
      <c r="J42" s="13">
        <v>137.63999999999999</v>
      </c>
      <c r="K42" s="13">
        <v>17.64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</row>
    <row r="43" spans="1:26" x14ac:dyDescent="0.35">
      <c r="A43" s="6" t="s">
        <v>14</v>
      </c>
      <c r="B43" s="10" t="s">
        <v>15</v>
      </c>
      <c r="C43" s="13">
        <v>785</v>
      </c>
      <c r="D43" s="13">
        <v>785</v>
      </c>
      <c r="E43" s="13">
        <v>785</v>
      </c>
      <c r="F43" s="13">
        <v>785</v>
      </c>
      <c r="G43" s="13">
        <v>785</v>
      </c>
      <c r="H43" s="13">
        <v>785</v>
      </c>
      <c r="I43" s="13">
        <v>785</v>
      </c>
      <c r="J43" s="13">
        <v>785</v>
      </c>
      <c r="K43" s="13">
        <v>785</v>
      </c>
      <c r="L43" s="13">
        <v>773.91</v>
      </c>
      <c r="M43" s="13">
        <v>597.67999999999995</v>
      </c>
      <c r="N43" s="13">
        <v>398.45</v>
      </c>
      <c r="O43" s="13">
        <v>486.96</v>
      </c>
      <c r="P43" s="13">
        <v>468.22</v>
      </c>
      <c r="Q43" s="13">
        <v>675.66</v>
      </c>
      <c r="R43" s="13">
        <v>485</v>
      </c>
      <c r="S43" s="13">
        <v>785</v>
      </c>
      <c r="T43" s="13">
        <v>596.73</v>
      </c>
      <c r="U43" s="13">
        <v>511.43</v>
      </c>
      <c r="V43" s="13">
        <v>408.98</v>
      </c>
      <c r="W43" s="13">
        <v>464.81</v>
      </c>
      <c r="X43" s="13">
        <v>533.07000000000005</v>
      </c>
      <c r="Y43" s="13">
        <v>745.95</v>
      </c>
      <c r="Z43" s="13">
        <v>785</v>
      </c>
    </row>
    <row r="44" spans="1:26" x14ac:dyDescent="0.35">
      <c r="A44" s="6" t="s">
        <v>16</v>
      </c>
      <c r="B44" s="10" t="s">
        <v>17</v>
      </c>
      <c r="C44" s="13">
        <v>309.82</v>
      </c>
      <c r="D44" s="13">
        <v>369</v>
      </c>
      <c r="E44" s="13">
        <v>253.23</v>
      </c>
      <c r="F44" s="13">
        <v>265.82</v>
      </c>
      <c r="G44" s="13">
        <v>369</v>
      </c>
      <c r="H44" s="13">
        <v>369</v>
      </c>
      <c r="I44" s="13">
        <v>360</v>
      </c>
      <c r="J44" s="13">
        <v>240</v>
      </c>
      <c r="K44" s="13">
        <v>120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</row>
    <row r="45" spans="1:26" x14ac:dyDescent="0.35">
      <c r="A45" s="6" t="s">
        <v>18</v>
      </c>
      <c r="B45" s="10" t="s">
        <v>19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</row>
    <row r="46" spans="1:26" x14ac:dyDescent="0.35">
      <c r="A46" s="6" t="s">
        <v>20</v>
      </c>
      <c r="B46" s="10" t="s">
        <v>21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42</v>
      </c>
      <c r="R46" s="13">
        <v>42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</row>
    <row r="47" spans="1:26" x14ac:dyDescent="0.35">
      <c r="A47" s="6" t="s">
        <v>22</v>
      </c>
      <c r="B47" s="10" t="s">
        <v>23</v>
      </c>
      <c r="C47" s="13">
        <v>845</v>
      </c>
      <c r="D47" s="13">
        <v>845</v>
      </c>
      <c r="E47" s="13">
        <v>845</v>
      </c>
      <c r="F47" s="13">
        <v>845</v>
      </c>
      <c r="G47" s="13">
        <v>845</v>
      </c>
      <c r="H47" s="13">
        <v>845</v>
      </c>
      <c r="I47" s="13">
        <v>845</v>
      </c>
      <c r="J47" s="13">
        <v>845</v>
      </c>
      <c r="K47" s="13">
        <v>845</v>
      </c>
      <c r="L47" s="13">
        <v>845</v>
      </c>
      <c r="M47" s="13">
        <v>845</v>
      </c>
      <c r="N47" s="13">
        <v>845</v>
      </c>
      <c r="O47" s="13">
        <v>845</v>
      </c>
      <c r="P47" s="13">
        <v>845</v>
      </c>
      <c r="Q47" s="13">
        <v>545</v>
      </c>
      <c r="R47" s="13">
        <v>714.73</v>
      </c>
      <c r="S47" s="13">
        <v>414.95</v>
      </c>
      <c r="T47" s="13">
        <v>714.95</v>
      </c>
      <c r="U47" s="13">
        <v>845</v>
      </c>
      <c r="V47" s="13">
        <v>845</v>
      </c>
      <c r="W47" s="13">
        <v>845</v>
      </c>
      <c r="X47" s="13">
        <v>845</v>
      </c>
      <c r="Y47" s="13">
        <v>845</v>
      </c>
      <c r="Z47" s="13">
        <v>845</v>
      </c>
    </row>
    <row r="48" spans="1:26" x14ac:dyDescent="0.35">
      <c r="A48" s="6" t="s">
        <v>24</v>
      </c>
      <c r="B48" s="10" t="s">
        <v>25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</row>
    <row r="49" spans="1:26" x14ac:dyDescent="0.35">
      <c r="A49" s="6" t="s">
        <v>26</v>
      </c>
      <c r="B49" s="10" t="s">
        <v>27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</row>
    <row r="50" spans="1:26" x14ac:dyDescent="0.35">
      <c r="A50" s="6" t="s">
        <v>28</v>
      </c>
      <c r="B50" s="10" t="s">
        <v>29</v>
      </c>
      <c r="C50" s="13">
        <v>210</v>
      </c>
      <c r="D50" s="13">
        <v>241.34</v>
      </c>
      <c r="E50" s="13">
        <v>330</v>
      </c>
      <c r="F50" s="13">
        <v>238.37</v>
      </c>
      <c r="G50" s="13">
        <v>118.37</v>
      </c>
      <c r="H50" s="13">
        <v>0</v>
      </c>
      <c r="I50" s="13">
        <v>0</v>
      </c>
      <c r="J50" s="13">
        <v>0</v>
      </c>
      <c r="K50" s="13">
        <v>84.5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</row>
    <row r="51" spans="1:26" x14ac:dyDescent="0.35">
      <c r="A51" s="6" t="s">
        <v>30</v>
      </c>
      <c r="B51" s="10" t="s">
        <v>31</v>
      </c>
      <c r="C51" s="13">
        <v>120</v>
      </c>
      <c r="D51" s="13">
        <v>0</v>
      </c>
      <c r="E51" s="13">
        <v>120</v>
      </c>
      <c r="F51" s="13">
        <v>240</v>
      </c>
      <c r="G51" s="13">
        <v>240</v>
      </c>
      <c r="H51" s="13">
        <v>120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68.55</v>
      </c>
    </row>
    <row r="52" spans="1:26" x14ac:dyDescent="0.35">
      <c r="A52" s="6" t="s">
        <v>33</v>
      </c>
      <c r="B52" s="11" t="s">
        <v>36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</row>
    <row r="53" spans="1:26" x14ac:dyDescent="0.35">
      <c r="A53" s="6" t="s">
        <v>35</v>
      </c>
      <c r="B53" s="11" t="s">
        <v>37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</row>
    <row r="54" spans="1:26" x14ac:dyDescent="0.35">
      <c r="A54" s="6" t="s">
        <v>34</v>
      </c>
      <c r="B54" s="11" t="s">
        <v>38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</row>
    <row r="58" spans="1:26" x14ac:dyDescent="0.35">
      <c r="A58" t="s">
        <v>53</v>
      </c>
    </row>
    <row r="59" spans="1:26" x14ac:dyDescent="0.35">
      <c r="A59" s="21" t="s">
        <v>11</v>
      </c>
      <c r="B59" s="7"/>
      <c r="C59" s="21" t="s">
        <v>10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35">
      <c r="A60" s="21"/>
      <c r="B60" s="7"/>
      <c r="C60" s="14">
        <v>1</v>
      </c>
      <c r="D60" s="14">
        <v>2</v>
      </c>
      <c r="E60" s="14">
        <v>3</v>
      </c>
      <c r="F60" s="14">
        <v>4</v>
      </c>
      <c r="G60" s="14">
        <v>5</v>
      </c>
      <c r="H60" s="14">
        <v>6</v>
      </c>
      <c r="I60" s="14">
        <v>7</v>
      </c>
      <c r="J60" s="14">
        <v>8</v>
      </c>
      <c r="K60" s="14">
        <v>9</v>
      </c>
      <c r="L60" s="14">
        <v>10</v>
      </c>
      <c r="M60" s="14">
        <v>11</v>
      </c>
      <c r="N60" s="14">
        <v>12</v>
      </c>
      <c r="O60" s="14">
        <v>13</v>
      </c>
      <c r="P60" s="14">
        <v>14</v>
      </c>
      <c r="Q60" s="14">
        <v>15</v>
      </c>
      <c r="R60" s="14">
        <v>16</v>
      </c>
      <c r="S60" s="14">
        <v>17</v>
      </c>
      <c r="T60" s="14">
        <v>18</v>
      </c>
      <c r="U60" s="14">
        <v>19</v>
      </c>
      <c r="V60" s="14">
        <v>20</v>
      </c>
      <c r="W60" s="14">
        <v>21</v>
      </c>
      <c r="X60" s="14">
        <v>22</v>
      </c>
      <c r="Y60" s="14">
        <v>23</v>
      </c>
      <c r="Z60" s="14">
        <v>24</v>
      </c>
    </row>
    <row r="61" spans="1:26" x14ac:dyDescent="0.35">
      <c r="A61" s="6" t="s">
        <v>12</v>
      </c>
      <c r="B61" s="10" t="s">
        <v>13</v>
      </c>
      <c r="C61" s="13">
        <v>120</v>
      </c>
      <c r="D61" s="13">
        <v>236.82</v>
      </c>
      <c r="E61" s="13">
        <v>356.82</v>
      </c>
      <c r="F61" s="13">
        <v>476.82</v>
      </c>
      <c r="G61" s="13">
        <v>356.82</v>
      </c>
      <c r="H61" s="13">
        <v>451.66</v>
      </c>
      <c r="I61" s="13">
        <v>390.12</v>
      </c>
      <c r="J61" s="13">
        <v>356.82</v>
      </c>
      <c r="K61" s="13">
        <v>236.82</v>
      </c>
      <c r="L61" s="13">
        <v>236.82</v>
      </c>
      <c r="M61" s="13">
        <v>236.82</v>
      </c>
      <c r="N61" s="13">
        <v>236.82</v>
      </c>
      <c r="O61" s="13">
        <v>236.82</v>
      </c>
      <c r="P61" s="13">
        <v>236.82</v>
      </c>
      <c r="Q61" s="13">
        <v>236.82</v>
      </c>
      <c r="R61" s="13">
        <v>236.82</v>
      </c>
      <c r="S61" s="13">
        <v>236.82</v>
      </c>
      <c r="T61" s="13">
        <v>236.82</v>
      </c>
      <c r="U61" s="13">
        <v>236.82</v>
      </c>
      <c r="V61" s="13">
        <v>236.82</v>
      </c>
      <c r="W61" s="13">
        <v>236.82</v>
      </c>
      <c r="X61" s="13">
        <v>236.82</v>
      </c>
      <c r="Y61" s="13">
        <v>236.82</v>
      </c>
      <c r="Z61" s="13">
        <v>236.82</v>
      </c>
    </row>
    <row r="62" spans="1:26" x14ac:dyDescent="0.35">
      <c r="A62" s="6" t="s">
        <v>14</v>
      </c>
      <c r="B62" s="10" t="s">
        <v>15</v>
      </c>
      <c r="C62" s="13">
        <v>785</v>
      </c>
      <c r="D62" s="13">
        <v>785</v>
      </c>
      <c r="E62" s="13">
        <v>785</v>
      </c>
      <c r="F62" s="13">
        <v>785</v>
      </c>
      <c r="G62" s="13">
        <v>785</v>
      </c>
      <c r="H62" s="13">
        <v>785</v>
      </c>
      <c r="I62" s="13">
        <v>785</v>
      </c>
      <c r="J62" s="13">
        <v>785</v>
      </c>
      <c r="K62" s="13">
        <v>679.91</v>
      </c>
      <c r="L62" s="13">
        <v>785</v>
      </c>
      <c r="M62" s="13">
        <v>785</v>
      </c>
      <c r="N62" s="13">
        <v>729.78</v>
      </c>
      <c r="O62" s="13">
        <v>429.78</v>
      </c>
      <c r="P62" s="13">
        <v>729.78</v>
      </c>
      <c r="Q62" s="13">
        <v>785</v>
      </c>
      <c r="R62" s="13">
        <v>785</v>
      </c>
      <c r="S62" s="13">
        <v>785</v>
      </c>
      <c r="T62" s="13">
        <v>785</v>
      </c>
      <c r="U62" s="13">
        <v>785</v>
      </c>
      <c r="V62" s="13">
        <v>785</v>
      </c>
      <c r="W62" s="13">
        <v>785</v>
      </c>
      <c r="X62" s="13">
        <v>785</v>
      </c>
      <c r="Y62" s="13">
        <v>785</v>
      </c>
      <c r="Z62" s="13">
        <v>715.1</v>
      </c>
    </row>
    <row r="63" spans="1:26" x14ac:dyDescent="0.35">
      <c r="A63" s="6" t="s">
        <v>16</v>
      </c>
      <c r="B63" s="10" t="s">
        <v>17</v>
      </c>
      <c r="C63" s="13">
        <v>249</v>
      </c>
      <c r="D63" s="13">
        <v>129</v>
      </c>
      <c r="E63" s="13">
        <v>149.82</v>
      </c>
      <c r="F63" s="13">
        <v>29.82</v>
      </c>
      <c r="G63" s="13">
        <v>149.82</v>
      </c>
      <c r="H63" s="13">
        <v>29.82</v>
      </c>
      <c r="I63" s="13">
        <v>29.82</v>
      </c>
      <c r="J63" s="13">
        <v>29.82</v>
      </c>
      <c r="K63" s="13">
        <v>29.82</v>
      </c>
      <c r="L63" s="13">
        <v>29.82</v>
      </c>
      <c r="M63" s="13">
        <v>29.82</v>
      </c>
      <c r="N63" s="13">
        <v>29.82</v>
      </c>
      <c r="O63" s="13">
        <v>29.82</v>
      </c>
      <c r="P63" s="13">
        <v>29.82</v>
      </c>
      <c r="Q63" s="13">
        <v>29.82</v>
      </c>
      <c r="R63" s="13">
        <v>29.82</v>
      </c>
      <c r="S63" s="13">
        <v>29.82</v>
      </c>
      <c r="T63" s="13">
        <v>29.82</v>
      </c>
      <c r="U63" s="13">
        <v>29.82</v>
      </c>
      <c r="V63" s="13">
        <v>29.82</v>
      </c>
      <c r="W63" s="13">
        <v>29.82</v>
      </c>
      <c r="X63" s="13">
        <v>29.82</v>
      </c>
      <c r="Y63" s="13">
        <v>29.82</v>
      </c>
      <c r="Z63" s="13">
        <v>29.82</v>
      </c>
    </row>
    <row r="64" spans="1:26" x14ac:dyDescent="0.35">
      <c r="A64" s="6" t="s">
        <v>18</v>
      </c>
      <c r="B64" s="10" t="s">
        <v>19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</row>
    <row r="65" spans="1:26" x14ac:dyDescent="0.35">
      <c r="A65" s="6" t="s">
        <v>20</v>
      </c>
      <c r="B65" s="10" t="s">
        <v>21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</row>
    <row r="66" spans="1:26" x14ac:dyDescent="0.35">
      <c r="A66" s="6" t="s">
        <v>22</v>
      </c>
      <c r="B66" s="10" t="s">
        <v>23</v>
      </c>
      <c r="C66" s="13">
        <v>845</v>
      </c>
      <c r="D66" s="13">
        <v>845</v>
      </c>
      <c r="E66" s="13">
        <v>845</v>
      </c>
      <c r="F66" s="13">
        <v>845</v>
      </c>
      <c r="G66" s="13">
        <v>845</v>
      </c>
      <c r="H66" s="13">
        <v>845</v>
      </c>
      <c r="I66" s="13">
        <v>845</v>
      </c>
      <c r="J66" s="13">
        <v>845</v>
      </c>
      <c r="K66" s="13">
        <v>845</v>
      </c>
      <c r="L66" s="13">
        <v>724.29</v>
      </c>
      <c r="M66" s="13">
        <v>845</v>
      </c>
      <c r="N66" s="13">
        <v>594.47</v>
      </c>
      <c r="O66" s="13">
        <v>845</v>
      </c>
      <c r="P66" s="13">
        <v>670.77</v>
      </c>
      <c r="Q66" s="13">
        <v>725.93</v>
      </c>
      <c r="R66" s="13">
        <v>770.77</v>
      </c>
      <c r="S66" s="13">
        <v>570.91</v>
      </c>
      <c r="T66" s="13">
        <v>370.8</v>
      </c>
      <c r="U66" s="13">
        <v>619.09</v>
      </c>
      <c r="V66" s="13">
        <v>700.96</v>
      </c>
      <c r="W66" s="13">
        <v>490.68</v>
      </c>
      <c r="X66" s="13">
        <v>297.06</v>
      </c>
      <c r="Y66" s="13">
        <v>567.84</v>
      </c>
      <c r="Z66" s="13">
        <v>845</v>
      </c>
    </row>
    <row r="67" spans="1:26" x14ac:dyDescent="0.35">
      <c r="A67" s="6" t="s">
        <v>24</v>
      </c>
      <c r="B67" s="10" t="s">
        <v>25</v>
      </c>
      <c r="C67" s="13">
        <v>562</v>
      </c>
      <c r="D67" s="13">
        <v>509.84</v>
      </c>
      <c r="E67" s="13">
        <v>562</v>
      </c>
      <c r="F67" s="13">
        <v>562</v>
      </c>
      <c r="G67" s="13">
        <v>562</v>
      </c>
      <c r="H67" s="13">
        <v>562</v>
      </c>
      <c r="I67" s="13">
        <v>562</v>
      </c>
      <c r="J67" s="13">
        <v>562</v>
      </c>
      <c r="K67" s="13">
        <v>562</v>
      </c>
      <c r="L67" s="13">
        <v>262</v>
      </c>
      <c r="M67" s="13">
        <v>7.38</v>
      </c>
      <c r="N67" s="13">
        <v>262</v>
      </c>
      <c r="O67" s="13">
        <v>562</v>
      </c>
      <c r="P67" s="13">
        <v>262</v>
      </c>
      <c r="Q67" s="13">
        <v>0</v>
      </c>
      <c r="R67" s="13">
        <v>0</v>
      </c>
      <c r="S67" s="13">
        <v>262</v>
      </c>
      <c r="T67" s="13">
        <v>562</v>
      </c>
      <c r="U67" s="13">
        <v>262</v>
      </c>
      <c r="V67" s="13">
        <v>0</v>
      </c>
      <c r="W67" s="13">
        <v>262</v>
      </c>
      <c r="X67" s="13">
        <v>562</v>
      </c>
      <c r="Y67" s="13">
        <v>562</v>
      </c>
      <c r="Z67" s="13">
        <v>562</v>
      </c>
    </row>
    <row r="68" spans="1:26" x14ac:dyDescent="0.35">
      <c r="A68" s="6" t="s">
        <v>26</v>
      </c>
      <c r="B68" s="10" t="s">
        <v>27</v>
      </c>
      <c r="C68" s="13">
        <v>425.15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</row>
    <row r="69" spans="1:26" x14ac:dyDescent="0.35">
      <c r="A69" s="6" t="s">
        <v>28</v>
      </c>
      <c r="B69" s="10" t="s">
        <v>29</v>
      </c>
      <c r="C69" s="13">
        <v>326.17</v>
      </c>
      <c r="D69" s="13">
        <v>206.17</v>
      </c>
      <c r="E69" s="13">
        <v>97.16</v>
      </c>
      <c r="F69" s="13">
        <v>176.98</v>
      </c>
      <c r="G69" s="13">
        <v>56.98</v>
      </c>
      <c r="H69" s="13">
        <v>0</v>
      </c>
      <c r="I69" s="13">
        <v>0</v>
      </c>
      <c r="J69" s="13">
        <v>81.67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</row>
    <row r="70" spans="1:26" x14ac:dyDescent="0.35">
      <c r="A70" s="6" t="s">
        <v>30</v>
      </c>
      <c r="B70" s="10" t="s">
        <v>31</v>
      </c>
      <c r="C70" s="13">
        <v>120</v>
      </c>
      <c r="D70" s="13">
        <v>0</v>
      </c>
      <c r="E70" s="13">
        <v>0</v>
      </c>
      <c r="F70" s="13">
        <v>0</v>
      </c>
      <c r="G70" s="13">
        <v>120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</row>
    <row r="71" spans="1:26" x14ac:dyDescent="0.35">
      <c r="A71" s="6" t="s">
        <v>33</v>
      </c>
      <c r="B71" s="11" t="s">
        <v>36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</row>
    <row r="72" spans="1:26" x14ac:dyDescent="0.35">
      <c r="A72" s="6" t="s">
        <v>35</v>
      </c>
      <c r="B72" s="11" t="s">
        <v>37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</row>
    <row r="73" spans="1:26" x14ac:dyDescent="0.35">
      <c r="A73" s="6" t="s">
        <v>34</v>
      </c>
      <c r="B73" s="11" t="s">
        <v>38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</row>
    <row r="77" spans="1:26" x14ac:dyDescent="0.35">
      <c r="A77" t="s">
        <v>55</v>
      </c>
    </row>
    <row r="78" spans="1:26" x14ac:dyDescent="0.35">
      <c r="A78" s="21" t="s">
        <v>11</v>
      </c>
      <c r="B78" s="7"/>
      <c r="C78" s="21" t="s">
        <v>10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35">
      <c r="A79" s="21"/>
      <c r="B79" s="7"/>
      <c r="C79" s="14">
        <v>1</v>
      </c>
      <c r="D79" s="14">
        <v>2</v>
      </c>
      <c r="E79" s="14">
        <v>3</v>
      </c>
      <c r="F79" s="14">
        <v>4</v>
      </c>
      <c r="G79" s="14">
        <v>5</v>
      </c>
      <c r="H79" s="14">
        <v>6</v>
      </c>
      <c r="I79" s="14">
        <v>7</v>
      </c>
      <c r="J79" s="14">
        <v>8</v>
      </c>
      <c r="K79" s="14">
        <v>9</v>
      </c>
      <c r="L79" s="14">
        <v>10</v>
      </c>
      <c r="M79" s="14">
        <v>11</v>
      </c>
      <c r="N79" s="14">
        <v>12</v>
      </c>
      <c r="O79" s="14">
        <v>13</v>
      </c>
      <c r="P79" s="14">
        <v>14</v>
      </c>
      <c r="Q79" s="14">
        <v>15</v>
      </c>
      <c r="R79" s="14">
        <v>16</v>
      </c>
      <c r="S79" s="14">
        <v>17</v>
      </c>
      <c r="T79" s="14">
        <v>18</v>
      </c>
      <c r="U79" s="14">
        <v>19</v>
      </c>
      <c r="V79" s="14">
        <v>20</v>
      </c>
      <c r="W79" s="14">
        <v>21</v>
      </c>
      <c r="X79" s="14">
        <v>22</v>
      </c>
      <c r="Y79" s="14">
        <v>23</v>
      </c>
      <c r="Z79" s="14">
        <v>24</v>
      </c>
    </row>
    <row r="80" spans="1:26" x14ac:dyDescent="0.35">
      <c r="A80" s="6" t="s">
        <v>12</v>
      </c>
      <c r="B80" s="10" t="s">
        <v>13</v>
      </c>
      <c r="C80" s="13">
        <v>120</v>
      </c>
      <c r="D80" s="13">
        <v>240</v>
      </c>
      <c r="E80" s="13">
        <v>360</v>
      </c>
      <c r="F80" s="13">
        <v>480</v>
      </c>
      <c r="G80" s="13">
        <v>549</v>
      </c>
      <c r="H80" s="13">
        <v>549</v>
      </c>
      <c r="I80" s="13">
        <v>549</v>
      </c>
      <c r="J80" s="13">
        <v>472.32</v>
      </c>
      <c r="K80" s="13">
        <v>356.82</v>
      </c>
      <c r="L80" s="13">
        <v>236.82</v>
      </c>
      <c r="M80" s="13">
        <v>236.82</v>
      </c>
      <c r="N80" s="13">
        <v>236.82</v>
      </c>
      <c r="O80" s="13">
        <v>236.82</v>
      </c>
      <c r="P80" s="13">
        <v>236.82</v>
      </c>
      <c r="Q80" s="13">
        <v>236.82</v>
      </c>
      <c r="R80" s="13">
        <v>236.82</v>
      </c>
      <c r="S80" s="13">
        <v>236.82</v>
      </c>
      <c r="T80" s="13">
        <v>236.82</v>
      </c>
      <c r="U80" s="13">
        <v>236.82</v>
      </c>
      <c r="V80" s="13">
        <v>236.82</v>
      </c>
      <c r="W80" s="13">
        <v>236.82</v>
      </c>
      <c r="X80" s="13">
        <v>236.82</v>
      </c>
      <c r="Y80" s="13">
        <v>236.82</v>
      </c>
      <c r="Z80" s="13">
        <v>286.73</v>
      </c>
    </row>
    <row r="81" spans="1:26" x14ac:dyDescent="0.35">
      <c r="A81" s="6" t="s">
        <v>14</v>
      </c>
      <c r="B81" s="10" t="s">
        <v>15</v>
      </c>
      <c r="C81" s="13">
        <v>785</v>
      </c>
      <c r="D81" s="13">
        <v>785</v>
      </c>
      <c r="E81" s="13">
        <v>785</v>
      </c>
      <c r="F81" s="13">
        <v>785</v>
      </c>
      <c r="G81" s="13">
        <v>785</v>
      </c>
      <c r="H81" s="13">
        <v>785</v>
      </c>
      <c r="I81" s="13">
        <v>785</v>
      </c>
      <c r="J81" s="13">
        <v>785</v>
      </c>
      <c r="K81" s="13">
        <v>785</v>
      </c>
      <c r="L81" s="13">
        <v>785</v>
      </c>
      <c r="M81" s="13">
        <v>785</v>
      </c>
      <c r="N81" s="13">
        <v>485</v>
      </c>
      <c r="O81" s="13">
        <v>785</v>
      </c>
      <c r="P81" s="13">
        <v>689.58</v>
      </c>
      <c r="Q81" s="13">
        <v>493.02</v>
      </c>
      <c r="R81" s="13">
        <v>752.09</v>
      </c>
      <c r="S81" s="13">
        <v>785</v>
      </c>
      <c r="T81" s="13">
        <v>785</v>
      </c>
      <c r="U81" s="13">
        <v>785</v>
      </c>
      <c r="V81" s="13">
        <v>766.17</v>
      </c>
      <c r="W81" s="13">
        <v>466.17</v>
      </c>
      <c r="X81" s="13">
        <v>759.43</v>
      </c>
      <c r="Y81" s="13">
        <v>785</v>
      </c>
      <c r="Z81" s="13">
        <v>785</v>
      </c>
    </row>
    <row r="82" spans="1:26" x14ac:dyDescent="0.35">
      <c r="A82" s="6" t="s">
        <v>16</v>
      </c>
      <c r="B82" s="10" t="s">
        <v>17</v>
      </c>
      <c r="C82" s="13">
        <v>369</v>
      </c>
      <c r="D82" s="13">
        <v>368.34</v>
      </c>
      <c r="E82" s="13">
        <v>369</v>
      </c>
      <c r="F82" s="13">
        <v>369</v>
      </c>
      <c r="G82" s="13">
        <v>324.86</v>
      </c>
      <c r="H82" s="13">
        <v>204.86</v>
      </c>
      <c r="I82" s="13">
        <v>121.57</v>
      </c>
      <c r="J82" s="13">
        <v>233.32</v>
      </c>
      <c r="K82" s="13">
        <v>113.32</v>
      </c>
      <c r="L82" s="13">
        <v>29.82</v>
      </c>
      <c r="M82" s="13">
        <v>29.82</v>
      </c>
      <c r="N82" s="13">
        <v>29.82</v>
      </c>
      <c r="O82" s="13">
        <v>29.82</v>
      </c>
      <c r="P82" s="13">
        <v>29.82</v>
      </c>
      <c r="Q82" s="13">
        <v>29.82</v>
      </c>
      <c r="R82" s="13">
        <v>29.82</v>
      </c>
      <c r="S82" s="13">
        <v>29.82</v>
      </c>
      <c r="T82" s="13">
        <v>29.82</v>
      </c>
      <c r="U82" s="13">
        <v>29.82</v>
      </c>
      <c r="V82" s="13">
        <v>29.82</v>
      </c>
      <c r="W82" s="13">
        <v>29.82</v>
      </c>
      <c r="X82" s="13">
        <v>29.82</v>
      </c>
      <c r="Y82" s="13">
        <v>29.82</v>
      </c>
      <c r="Z82" s="13">
        <v>29.82</v>
      </c>
    </row>
    <row r="83" spans="1:26" x14ac:dyDescent="0.35">
      <c r="A83" s="6" t="s">
        <v>18</v>
      </c>
      <c r="B83" s="10" t="s">
        <v>19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</row>
    <row r="84" spans="1:26" x14ac:dyDescent="0.35">
      <c r="A84" s="6" t="s">
        <v>20</v>
      </c>
      <c r="B84" s="10" t="s">
        <v>21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</row>
    <row r="85" spans="1:26" x14ac:dyDescent="0.35">
      <c r="A85" s="6" t="s">
        <v>22</v>
      </c>
      <c r="B85" s="10" t="s">
        <v>23</v>
      </c>
      <c r="C85" s="13">
        <v>845</v>
      </c>
      <c r="D85" s="13">
        <v>845</v>
      </c>
      <c r="E85" s="13">
        <v>845</v>
      </c>
      <c r="F85" s="13">
        <v>845</v>
      </c>
      <c r="G85" s="13">
        <v>845</v>
      </c>
      <c r="H85" s="13">
        <v>845</v>
      </c>
      <c r="I85" s="13">
        <v>845</v>
      </c>
      <c r="J85" s="13">
        <v>845</v>
      </c>
      <c r="K85" s="13">
        <v>845</v>
      </c>
      <c r="L85" s="13">
        <v>815.27</v>
      </c>
      <c r="M85" s="13">
        <v>845</v>
      </c>
      <c r="N85" s="13">
        <v>845</v>
      </c>
      <c r="O85" s="13">
        <v>608.32000000000005</v>
      </c>
      <c r="P85" s="13">
        <v>845</v>
      </c>
      <c r="Q85" s="13">
        <v>845</v>
      </c>
      <c r="R85" s="13">
        <v>845</v>
      </c>
      <c r="S85" s="13">
        <v>845</v>
      </c>
      <c r="T85" s="13">
        <v>676.73</v>
      </c>
      <c r="U85" s="13">
        <v>845</v>
      </c>
      <c r="V85" s="13">
        <v>545</v>
      </c>
      <c r="W85" s="13">
        <v>845</v>
      </c>
      <c r="X85" s="13">
        <v>845</v>
      </c>
      <c r="Y85" s="13">
        <v>845</v>
      </c>
      <c r="Z85" s="13">
        <v>845</v>
      </c>
    </row>
    <row r="86" spans="1:26" x14ac:dyDescent="0.35">
      <c r="A86" s="6" t="s">
        <v>24</v>
      </c>
      <c r="B86" s="10" t="s">
        <v>25</v>
      </c>
      <c r="C86" s="13">
        <v>562</v>
      </c>
      <c r="D86" s="13">
        <v>562</v>
      </c>
      <c r="E86" s="13">
        <v>562</v>
      </c>
      <c r="F86" s="13">
        <v>562</v>
      </c>
      <c r="G86" s="13">
        <v>562</v>
      </c>
      <c r="H86" s="13">
        <v>562</v>
      </c>
      <c r="I86" s="13">
        <v>562</v>
      </c>
      <c r="J86" s="13">
        <v>562</v>
      </c>
      <c r="K86" s="13">
        <v>562</v>
      </c>
      <c r="L86" s="13">
        <v>562</v>
      </c>
      <c r="M86" s="13">
        <v>296.04000000000002</v>
      </c>
      <c r="N86" s="13">
        <v>496.81</v>
      </c>
      <c r="O86" s="13">
        <v>562</v>
      </c>
      <c r="P86" s="13">
        <v>262</v>
      </c>
      <c r="Q86" s="13">
        <v>300</v>
      </c>
      <c r="R86" s="13">
        <v>0</v>
      </c>
      <c r="S86" s="13">
        <v>173.31</v>
      </c>
      <c r="T86" s="13">
        <v>473.31</v>
      </c>
      <c r="U86" s="13">
        <v>289.79000000000002</v>
      </c>
      <c r="V86" s="13">
        <v>501.17</v>
      </c>
      <c r="W86" s="13">
        <v>562</v>
      </c>
      <c r="X86" s="13">
        <v>262</v>
      </c>
      <c r="Y86" s="13">
        <v>504.31</v>
      </c>
      <c r="Z86" s="13">
        <v>562</v>
      </c>
    </row>
    <row r="87" spans="1:26" x14ac:dyDescent="0.35">
      <c r="A87" s="6" t="s">
        <v>26</v>
      </c>
      <c r="B87" s="10" t="s">
        <v>27</v>
      </c>
      <c r="C87" s="13">
        <v>425.15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</row>
    <row r="88" spans="1:26" x14ac:dyDescent="0.35">
      <c r="A88" s="6" t="s">
        <v>28</v>
      </c>
      <c r="B88" s="10" t="s">
        <v>29</v>
      </c>
      <c r="C88" s="13">
        <v>330</v>
      </c>
      <c r="D88" s="13">
        <v>210</v>
      </c>
      <c r="E88" s="13">
        <v>120</v>
      </c>
      <c r="F88" s="13">
        <v>0</v>
      </c>
      <c r="G88" s="13">
        <v>120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</row>
    <row r="89" spans="1:26" x14ac:dyDescent="0.35">
      <c r="A89" s="6" t="s">
        <v>30</v>
      </c>
      <c r="B89" s="10" t="s">
        <v>31</v>
      </c>
      <c r="C89" s="13">
        <v>240</v>
      </c>
      <c r="D89" s="13">
        <v>120</v>
      </c>
      <c r="E89" s="13">
        <v>22.23</v>
      </c>
      <c r="F89" s="13">
        <v>142.22999999999999</v>
      </c>
      <c r="G89" s="13">
        <v>61.51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</row>
    <row r="90" spans="1:26" x14ac:dyDescent="0.35">
      <c r="A90" s="6" t="s">
        <v>33</v>
      </c>
      <c r="B90" s="11" t="s">
        <v>36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</row>
    <row r="91" spans="1:26" x14ac:dyDescent="0.35">
      <c r="A91" s="6" t="s">
        <v>35</v>
      </c>
      <c r="B91" s="11" t="s">
        <v>37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</row>
    <row r="92" spans="1:26" x14ac:dyDescent="0.35">
      <c r="A92" s="6" t="s">
        <v>34</v>
      </c>
      <c r="B92" s="11" t="s">
        <v>38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</row>
    <row r="96" spans="1:26" x14ac:dyDescent="0.35">
      <c r="A96" t="s">
        <v>57</v>
      </c>
    </row>
    <row r="97" spans="1:26" x14ac:dyDescent="0.35">
      <c r="A97" s="21" t="s">
        <v>11</v>
      </c>
      <c r="B97" s="7"/>
      <c r="C97" s="21" t="s">
        <v>10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35">
      <c r="A98" s="21"/>
      <c r="B98" s="7"/>
      <c r="C98" s="14">
        <v>1</v>
      </c>
      <c r="D98" s="14">
        <v>2</v>
      </c>
      <c r="E98" s="14">
        <v>3</v>
      </c>
      <c r="F98" s="14">
        <v>4</v>
      </c>
      <c r="G98" s="14">
        <v>5</v>
      </c>
      <c r="H98" s="14">
        <v>6</v>
      </c>
      <c r="I98" s="14">
        <v>7</v>
      </c>
      <c r="J98" s="14">
        <v>8</v>
      </c>
      <c r="K98" s="14">
        <v>9</v>
      </c>
      <c r="L98" s="14">
        <v>10</v>
      </c>
      <c r="M98" s="14">
        <v>11</v>
      </c>
      <c r="N98" s="14">
        <v>12</v>
      </c>
      <c r="O98" s="14">
        <v>13</v>
      </c>
      <c r="P98" s="14">
        <v>14</v>
      </c>
      <c r="Q98" s="14">
        <v>15</v>
      </c>
      <c r="R98" s="14">
        <v>16</v>
      </c>
      <c r="S98" s="14">
        <v>17</v>
      </c>
      <c r="T98" s="14">
        <v>18</v>
      </c>
      <c r="U98" s="14">
        <v>19</v>
      </c>
      <c r="V98" s="14">
        <v>20</v>
      </c>
      <c r="W98" s="14">
        <v>21</v>
      </c>
      <c r="X98" s="14">
        <v>22</v>
      </c>
      <c r="Y98" s="14">
        <v>23</v>
      </c>
      <c r="Z98" s="14">
        <v>24</v>
      </c>
    </row>
    <row r="99" spans="1:26" x14ac:dyDescent="0.35">
      <c r="A99" s="6" t="s">
        <v>12</v>
      </c>
      <c r="B99" s="10" t="s">
        <v>13</v>
      </c>
      <c r="C99" s="13">
        <v>120</v>
      </c>
      <c r="D99" s="13">
        <v>240</v>
      </c>
      <c r="E99" s="13">
        <v>360</v>
      </c>
      <c r="F99" s="13">
        <v>480</v>
      </c>
      <c r="G99" s="13">
        <v>549</v>
      </c>
      <c r="H99" s="13">
        <v>549</v>
      </c>
      <c r="I99" s="13">
        <v>549</v>
      </c>
      <c r="J99" s="13">
        <v>472.32</v>
      </c>
      <c r="K99" s="13">
        <v>356.82</v>
      </c>
      <c r="L99" s="13">
        <v>236.82</v>
      </c>
      <c r="M99" s="13">
        <v>236.82</v>
      </c>
      <c r="N99" s="13">
        <v>236.82</v>
      </c>
      <c r="O99" s="13">
        <v>236.82</v>
      </c>
      <c r="P99" s="13">
        <v>236.82</v>
      </c>
      <c r="Q99" s="13">
        <v>236.82</v>
      </c>
      <c r="R99" s="13">
        <v>236.82</v>
      </c>
      <c r="S99" s="13">
        <v>236.82</v>
      </c>
      <c r="T99" s="13">
        <v>236.82</v>
      </c>
      <c r="U99" s="13">
        <v>236.82</v>
      </c>
      <c r="V99" s="13">
        <v>236.82</v>
      </c>
      <c r="W99" s="13">
        <v>236.82</v>
      </c>
      <c r="X99" s="13">
        <v>236.82</v>
      </c>
      <c r="Y99" s="13">
        <v>236.82</v>
      </c>
      <c r="Z99" s="13">
        <v>286.73</v>
      </c>
    </row>
    <row r="100" spans="1:26" x14ac:dyDescent="0.35">
      <c r="A100" s="6" t="s">
        <v>14</v>
      </c>
      <c r="B100" s="10" t="s">
        <v>15</v>
      </c>
      <c r="C100" s="13">
        <v>785</v>
      </c>
      <c r="D100" s="13">
        <v>785</v>
      </c>
      <c r="E100" s="13">
        <v>785</v>
      </c>
      <c r="F100" s="13">
        <v>785</v>
      </c>
      <c r="G100" s="13">
        <v>785</v>
      </c>
      <c r="H100" s="13">
        <v>785</v>
      </c>
      <c r="I100" s="13">
        <v>785</v>
      </c>
      <c r="J100" s="13">
        <v>785</v>
      </c>
      <c r="K100" s="13">
        <v>785</v>
      </c>
      <c r="L100" s="13">
        <v>785</v>
      </c>
      <c r="M100" s="13">
        <v>785</v>
      </c>
      <c r="N100" s="13">
        <v>485</v>
      </c>
      <c r="O100" s="13">
        <v>785</v>
      </c>
      <c r="P100" s="13">
        <v>689.58</v>
      </c>
      <c r="Q100" s="13">
        <v>493.02</v>
      </c>
      <c r="R100" s="13">
        <v>752.09</v>
      </c>
      <c r="S100" s="13">
        <v>785</v>
      </c>
      <c r="T100" s="13">
        <v>785</v>
      </c>
      <c r="U100" s="13">
        <v>785</v>
      </c>
      <c r="V100" s="13">
        <v>766.17</v>
      </c>
      <c r="W100" s="13">
        <v>466.17</v>
      </c>
      <c r="X100" s="13">
        <v>759.43</v>
      </c>
      <c r="Y100" s="13">
        <v>785</v>
      </c>
      <c r="Z100" s="13">
        <v>785</v>
      </c>
    </row>
    <row r="101" spans="1:26" x14ac:dyDescent="0.35">
      <c r="A101" s="6" t="s">
        <v>16</v>
      </c>
      <c r="B101" s="10" t="s">
        <v>17</v>
      </c>
      <c r="C101" s="13">
        <v>369</v>
      </c>
      <c r="D101" s="13">
        <v>368.34</v>
      </c>
      <c r="E101" s="13">
        <v>369</v>
      </c>
      <c r="F101" s="13">
        <v>369</v>
      </c>
      <c r="G101" s="13">
        <v>324.86</v>
      </c>
      <c r="H101" s="13">
        <v>204.86</v>
      </c>
      <c r="I101" s="13">
        <v>121.57</v>
      </c>
      <c r="J101" s="13">
        <v>233.32</v>
      </c>
      <c r="K101" s="13">
        <v>113.32</v>
      </c>
      <c r="L101" s="13">
        <v>29.82</v>
      </c>
      <c r="M101" s="13">
        <v>29.82</v>
      </c>
      <c r="N101" s="13">
        <v>29.82</v>
      </c>
      <c r="O101" s="13">
        <v>29.82</v>
      </c>
      <c r="P101" s="13">
        <v>29.82</v>
      </c>
      <c r="Q101" s="13">
        <v>29.82</v>
      </c>
      <c r="R101" s="13">
        <v>29.82</v>
      </c>
      <c r="S101" s="13">
        <v>29.82</v>
      </c>
      <c r="T101" s="13">
        <v>29.82</v>
      </c>
      <c r="U101" s="13">
        <v>29.82</v>
      </c>
      <c r="V101" s="13">
        <v>29.82</v>
      </c>
      <c r="W101" s="13">
        <v>29.82</v>
      </c>
      <c r="X101" s="13">
        <v>29.82</v>
      </c>
      <c r="Y101" s="13">
        <v>29.82</v>
      </c>
      <c r="Z101" s="13">
        <v>29.82</v>
      </c>
    </row>
    <row r="102" spans="1:26" x14ac:dyDescent="0.35">
      <c r="A102" s="6" t="s">
        <v>18</v>
      </c>
      <c r="B102" s="10" t="s">
        <v>19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</row>
    <row r="103" spans="1:26" x14ac:dyDescent="0.35">
      <c r="A103" s="6" t="s">
        <v>20</v>
      </c>
      <c r="B103" s="10" t="s">
        <v>21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</row>
    <row r="104" spans="1:26" x14ac:dyDescent="0.35">
      <c r="A104" s="6" t="s">
        <v>22</v>
      </c>
      <c r="B104" s="10" t="s">
        <v>23</v>
      </c>
      <c r="C104" s="13">
        <v>845</v>
      </c>
      <c r="D104" s="13">
        <v>845</v>
      </c>
      <c r="E104" s="13">
        <v>845</v>
      </c>
      <c r="F104" s="13">
        <v>845</v>
      </c>
      <c r="G104" s="13">
        <v>845</v>
      </c>
      <c r="H104" s="13">
        <v>845</v>
      </c>
      <c r="I104" s="13">
        <v>845</v>
      </c>
      <c r="J104" s="13">
        <v>845</v>
      </c>
      <c r="K104" s="13">
        <v>845</v>
      </c>
      <c r="L104" s="13">
        <v>815.27</v>
      </c>
      <c r="M104" s="13">
        <v>845</v>
      </c>
      <c r="N104" s="13">
        <v>845</v>
      </c>
      <c r="O104" s="13">
        <v>608.32000000000005</v>
      </c>
      <c r="P104" s="13">
        <v>845</v>
      </c>
      <c r="Q104" s="13">
        <v>845</v>
      </c>
      <c r="R104" s="13">
        <v>845</v>
      </c>
      <c r="S104" s="13">
        <v>845</v>
      </c>
      <c r="T104" s="13">
        <v>676.73</v>
      </c>
      <c r="U104" s="13">
        <v>845</v>
      </c>
      <c r="V104" s="13">
        <v>545</v>
      </c>
      <c r="W104" s="13">
        <v>845</v>
      </c>
      <c r="X104" s="13">
        <v>845</v>
      </c>
      <c r="Y104" s="13">
        <v>845</v>
      </c>
      <c r="Z104" s="13">
        <v>845</v>
      </c>
    </row>
    <row r="105" spans="1:26" x14ac:dyDescent="0.35">
      <c r="A105" s="6" t="s">
        <v>24</v>
      </c>
      <c r="B105" s="10" t="s">
        <v>25</v>
      </c>
      <c r="C105" s="13">
        <v>562</v>
      </c>
      <c r="D105" s="13">
        <v>562</v>
      </c>
      <c r="E105" s="13">
        <v>562</v>
      </c>
      <c r="F105" s="13">
        <v>562</v>
      </c>
      <c r="G105" s="13">
        <v>562</v>
      </c>
      <c r="H105" s="13">
        <v>562</v>
      </c>
      <c r="I105" s="13">
        <v>562</v>
      </c>
      <c r="J105" s="13">
        <v>562</v>
      </c>
      <c r="K105" s="13">
        <v>562</v>
      </c>
      <c r="L105" s="13">
        <v>562</v>
      </c>
      <c r="M105" s="13">
        <v>296.04000000000002</v>
      </c>
      <c r="N105" s="13">
        <v>496.81</v>
      </c>
      <c r="O105" s="13">
        <v>562</v>
      </c>
      <c r="P105" s="13">
        <v>262</v>
      </c>
      <c r="Q105" s="13">
        <v>300</v>
      </c>
      <c r="R105" s="13">
        <v>0</v>
      </c>
      <c r="S105" s="13">
        <v>173.31</v>
      </c>
      <c r="T105" s="13">
        <v>473.31</v>
      </c>
      <c r="U105" s="13">
        <v>289.79000000000002</v>
      </c>
      <c r="V105" s="13">
        <v>501.17</v>
      </c>
      <c r="W105" s="13">
        <v>562</v>
      </c>
      <c r="X105" s="13">
        <v>262</v>
      </c>
      <c r="Y105" s="13">
        <v>504.31</v>
      </c>
      <c r="Z105" s="13">
        <v>562</v>
      </c>
    </row>
    <row r="106" spans="1:26" x14ac:dyDescent="0.35">
      <c r="A106" s="6" t="s">
        <v>26</v>
      </c>
      <c r="B106" s="10" t="s">
        <v>27</v>
      </c>
      <c r="C106" s="13">
        <v>425.15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</row>
    <row r="107" spans="1:26" x14ac:dyDescent="0.35">
      <c r="A107" s="6" t="s">
        <v>28</v>
      </c>
      <c r="B107" s="10" t="s">
        <v>29</v>
      </c>
      <c r="C107" s="13">
        <v>330</v>
      </c>
      <c r="D107" s="13">
        <v>210</v>
      </c>
      <c r="E107" s="13">
        <v>120</v>
      </c>
      <c r="F107" s="13">
        <v>0</v>
      </c>
      <c r="G107" s="13">
        <v>120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</row>
    <row r="108" spans="1:26" x14ac:dyDescent="0.35">
      <c r="A108" s="6" t="s">
        <v>30</v>
      </c>
      <c r="B108" s="10" t="s">
        <v>31</v>
      </c>
      <c r="C108" s="13">
        <v>240</v>
      </c>
      <c r="D108" s="13">
        <v>120</v>
      </c>
      <c r="E108" s="13">
        <v>22.23</v>
      </c>
      <c r="F108" s="13">
        <v>142.22999999999999</v>
      </c>
      <c r="G108" s="13">
        <v>61.51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</row>
    <row r="109" spans="1:26" x14ac:dyDescent="0.35">
      <c r="A109" s="6" t="s">
        <v>33</v>
      </c>
      <c r="B109" s="11" t="s">
        <v>36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</row>
    <row r="110" spans="1:26" x14ac:dyDescent="0.35">
      <c r="A110" s="6" t="s">
        <v>35</v>
      </c>
      <c r="B110" s="11" t="s">
        <v>37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</row>
    <row r="111" spans="1:26" x14ac:dyDescent="0.35">
      <c r="A111" s="6" t="s">
        <v>34</v>
      </c>
      <c r="B111" s="11" t="s">
        <v>38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</row>
    <row r="115" spans="1:26" x14ac:dyDescent="0.35">
      <c r="A115" t="s">
        <v>59</v>
      </c>
    </row>
    <row r="116" spans="1:26" x14ac:dyDescent="0.35">
      <c r="A116" s="21" t="s">
        <v>11</v>
      </c>
      <c r="B116" s="7"/>
      <c r="C116" s="21" t="s">
        <v>10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35">
      <c r="A117" s="21"/>
      <c r="B117" s="7"/>
      <c r="C117" s="14">
        <v>1</v>
      </c>
      <c r="D117" s="14">
        <v>2</v>
      </c>
      <c r="E117" s="14">
        <v>3</v>
      </c>
      <c r="F117" s="14">
        <v>4</v>
      </c>
      <c r="G117" s="14">
        <v>5</v>
      </c>
      <c r="H117" s="14">
        <v>6</v>
      </c>
      <c r="I117" s="14">
        <v>7</v>
      </c>
      <c r="J117" s="14">
        <v>8</v>
      </c>
      <c r="K117" s="14">
        <v>9</v>
      </c>
      <c r="L117" s="14">
        <v>10</v>
      </c>
      <c r="M117" s="14">
        <v>11</v>
      </c>
      <c r="N117" s="14">
        <v>12</v>
      </c>
      <c r="O117" s="14">
        <v>13</v>
      </c>
      <c r="P117" s="14">
        <v>14</v>
      </c>
      <c r="Q117" s="14">
        <v>15</v>
      </c>
      <c r="R117" s="14">
        <v>16</v>
      </c>
      <c r="S117" s="14">
        <v>17</v>
      </c>
      <c r="T117" s="14">
        <v>18</v>
      </c>
      <c r="U117" s="14">
        <v>19</v>
      </c>
      <c r="V117" s="14">
        <v>20</v>
      </c>
      <c r="W117" s="14">
        <v>21</v>
      </c>
      <c r="X117" s="14">
        <v>22</v>
      </c>
      <c r="Y117" s="14">
        <v>23</v>
      </c>
      <c r="Z117" s="14">
        <v>24</v>
      </c>
    </row>
    <row r="118" spans="1:26" x14ac:dyDescent="0.35">
      <c r="A118" s="6" t="s">
        <v>12</v>
      </c>
      <c r="B118" s="10" t="s">
        <v>13</v>
      </c>
      <c r="C118" s="13">
        <v>120</v>
      </c>
      <c r="D118" s="13">
        <v>240</v>
      </c>
      <c r="E118" s="13">
        <v>360</v>
      </c>
      <c r="F118" s="13">
        <v>429</v>
      </c>
      <c r="G118" s="13">
        <v>549</v>
      </c>
      <c r="H118" s="13">
        <v>517.99</v>
      </c>
      <c r="I118" s="13">
        <v>549</v>
      </c>
      <c r="J118" s="13">
        <v>468.02</v>
      </c>
      <c r="K118" s="13">
        <v>348.02</v>
      </c>
      <c r="L118" s="13">
        <v>228.02</v>
      </c>
      <c r="M118" s="13">
        <v>228.02</v>
      </c>
      <c r="N118" s="13">
        <v>230.77</v>
      </c>
      <c r="O118" s="13">
        <v>234.62</v>
      </c>
      <c r="P118" s="13">
        <v>228.02</v>
      </c>
      <c r="Q118" s="13">
        <v>228.02</v>
      </c>
      <c r="R118" s="13">
        <v>228.02</v>
      </c>
      <c r="S118" s="13">
        <v>228.02</v>
      </c>
      <c r="T118" s="13">
        <v>228.02</v>
      </c>
      <c r="U118" s="13">
        <v>228.02</v>
      </c>
      <c r="V118" s="13">
        <v>228.02</v>
      </c>
      <c r="W118" s="13">
        <v>234.62</v>
      </c>
      <c r="X118" s="13">
        <v>230.22</v>
      </c>
      <c r="Y118" s="13">
        <v>230.22</v>
      </c>
      <c r="Z118" s="13">
        <v>236.82</v>
      </c>
    </row>
    <row r="119" spans="1:26" x14ac:dyDescent="0.35">
      <c r="A119" s="6" t="s">
        <v>14</v>
      </c>
      <c r="B119" s="10" t="s">
        <v>15</v>
      </c>
      <c r="C119" s="13">
        <v>785</v>
      </c>
      <c r="D119" s="13">
        <v>785</v>
      </c>
      <c r="E119" s="13">
        <v>785</v>
      </c>
      <c r="F119" s="13">
        <v>785</v>
      </c>
      <c r="G119" s="13">
        <v>785</v>
      </c>
      <c r="H119" s="13">
        <v>785</v>
      </c>
      <c r="I119" s="13">
        <v>785</v>
      </c>
      <c r="J119" s="13">
        <v>785</v>
      </c>
      <c r="K119" s="13">
        <v>785</v>
      </c>
      <c r="L119" s="13">
        <v>785</v>
      </c>
      <c r="M119" s="13">
        <v>536.64</v>
      </c>
      <c r="N119" s="13">
        <v>785</v>
      </c>
      <c r="O119" s="13">
        <v>612.72</v>
      </c>
      <c r="P119" s="13">
        <v>707.18</v>
      </c>
      <c r="Q119" s="13">
        <v>785</v>
      </c>
      <c r="R119" s="13">
        <v>785</v>
      </c>
      <c r="S119" s="13">
        <v>785</v>
      </c>
      <c r="T119" s="13">
        <v>616.73</v>
      </c>
      <c r="U119" s="13">
        <v>785</v>
      </c>
      <c r="V119" s="13">
        <v>697.37</v>
      </c>
      <c r="W119" s="13">
        <v>785</v>
      </c>
      <c r="X119" s="13">
        <v>785</v>
      </c>
      <c r="Y119" s="13">
        <v>785</v>
      </c>
      <c r="Z119" s="13">
        <v>785</v>
      </c>
    </row>
    <row r="120" spans="1:26" x14ac:dyDescent="0.35">
      <c r="A120" s="6" t="s">
        <v>16</v>
      </c>
      <c r="B120" s="10" t="s">
        <v>17</v>
      </c>
      <c r="C120" s="13">
        <v>369</v>
      </c>
      <c r="D120" s="13">
        <v>288.33999999999997</v>
      </c>
      <c r="E120" s="13">
        <v>261.23</v>
      </c>
      <c r="F120" s="13">
        <v>338.19</v>
      </c>
      <c r="G120" s="13">
        <v>291.37</v>
      </c>
      <c r="H120" s="13">
        <v>171.37</v>
      </c>
      <c r="I120" s="13">
        <v>100.11</v>
      </c>
      <c r="J120" s="13">
        <v>187.37</v>
      </c>
      <c r="K120" s="13">
        <v>67.37</v>
      </c>
      <c r="L120" s="13">
        <v>21.02</v>
      </c>
      <c r="M120" s="13">
        <v>21.02</v>
      </c>
      <c r="N120" s="13">
        <v>23.77</v>
      </c>
      <c r="O120" s="13">
        <v>27.62</v>
      </c>
      <c r="P120" s="13">
        <v>21.02</v>
      </c>
      <c r="Q120" s="13">
        <v>21.02</v>
      </c>
      <c r="R120" s="13">
        <v>21.02</v>
      </c>
      <c r="S120" s="13">
        <v>21.02</v>
      </c>
      <c r="T120" s="13">
        <v>21.02</v>
      </c>
      <c r="U120" s="13">
        <v>21.02</v>
      </c>
      <c r="V120" s="13">
        <v>21.02</v>
      </c>
      <c r="W120" s="13">
        <v>27.62</v>
      </c>
      <c r="X120" s="13">
        <v>23.22</v>
      </c>
      <c r="Y120" s="13">
        <v>23.22</v>
      </c>
      <c r="Z120" s="13">
        <v>29.82</v>
      </c>
    </row>
    <row r="121" spans="1:26" x14ac:dyDescent="0.35">
      <c r="A121" s="6" t="s">
        <v>18</v>
      </c>
      <c r="B121" s="10" t="s">
        <v>19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</row>
    <row r="122" spans="1:26" x14ac:dyDescent="0.35">
      <c r="A122" s="6" t="s">
        <v>20</v>
      </c>
      <c r="B122" s="10" t="s">
        <v>21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</row>
    <row r="123" spans="1:26" x14ac:dyDescent="0.35">
      <c r="A123" s="6" t="s">
        <v>22</v>
      </c>
      <c r="B123" s="10" t="s">
        <v>23</v>
      </c>
      <c r="C123" s="13">
        <v>845</v>
      </c>
      <c r="D123" s="13">
        <v>845</v>
      </c>
      <c r="E123" s="13">
        <v>845</v>
      </c>
      <c r="F123" s="13">
        <v>845</v>
      </c>
      <c r="G123" s="13">
        <v>845</v>
      </c>
      <c r="H123" s="13">
        <v>845</v>
      </c>
      <c r="I123" s="13">
        <v>845</v>
      </c>
      <c r="J123" s="13">
        <v>845</v>
      </c>
      <c r="K123" s="13">
        <v>845</v>
      </c>
      <c r="L123" s="13">
        <v>832.87</v>
      </c>
      <c r="M123" s="13">
        <v>845</v>
      </c>
      <c r="N123" s="13">
        <v>756.91</v>
      </c>
      <c r="O123" s="13">
        <v>845</v>
      </c>
      <c r="P123" s="13">
        <v>545</v>
      </c>
      <c r="Q123" s="13">
        <v>608.62</v>
      </c>
      <c r="R123" s="13">
        <v>845</v>
      </c>
      <c r="S123" s="13">
        <v>845</v>
      </c>
      <c r="T123" s="13">
        <v>845</v>
      </c>
      <c r="U123" s="13">
        <v>845</v>
      </c>
      <c r="V123" s="13">
        <v>545</v>
      </c>
      <c r="W123" s="13">
        <v>845</v>
      </c>
      <c r="X123" s="13">
        <v>562.05999999999995</v>
      </c>
      <c r="Y123" s="13">
        <v>845</v>
      </c>
      <c r="Z123" s="13">
        <v>845</v>
      </c>
    </row>
    <row r="124" spans="1:26" x14ac:dyDescent="0.35">
      <c r="A124" s="6" t="s">
        <v>24</v>
      </c>
      <c r="B124" s="10" t="s">
        <v>25</v>
      </c>
      <c r="C124" s="13">
        <v>562</v>
      </c>
      <c r="D124" s="13">
        <v>562</v>
      </c>
      <c r="E124" s="13">
        <v>562</v>
      </c>
      <c r="F124" s="13">
        <v>562</v>
      </c>
      <c r="G124" s="13">
        <v>562</v>
      </c>
      <c r="H124" s="13">
        <v>562</v>
      </c>
      <c r="I124" s="13">
        <v>562</v>
      </c>
      <c r="J124" s="13">
        <v>562</v>
      </c>
      <c r="K124" s="13">
        <v>562</v>
      </c>
      <c r="L124" s="13">
        <v>562</v>
      </c>
      <c r="M124" s="13">
        <v>562</v>
      </c>
      <c r="N124" s="13">
        <v>262</v>
      </c>
      <c r="O124" s="13">
        <v>562</v>
      </c>
      <c r="P124" s="13">
        <v>562</v>
      </c>
      <c r="Q124" s="13">
        <v>262</v>
      </c>
      <c r="R124" s="13">
        <v>44.69</v>
      </c>
      <c r="S124" s="13">
        <v>190.91</v>
      </c>
      <c r="T124" s="13">
        <v>490.91</v>
      </c>
      <c r="U124" s="13">
        <v>287.39</v>
      </c>
      <c r="V124" s="13">
        <v>527.57000000000005</v>
      </c>
      <c r="W124" s="13">
        <v>227.57</v>
      </c>
      <c r="X124" s="13">
        <v>527.57000000000005</v>
      </c>
      <c r="Y124" s="13">
        <v>537.51</v>
      </c>
      <c r="Z124" s="13">
        <v>562</v>
      </c>
    </row>
    <row r="125" spans="1:26" x14ac:dyDescent="0.35">
      <c r="A125" s="6" t="s">
        <v>26</v>
      </c>
      <c r="B125" s="10" t="s">
        <v>27</v>
      </c>
      <c r="C125" s="13">
        <v>425.15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</row>
    <row r="126" spans="1:26" x14ac:dyDescent="0.35">
      <c r="A126" s="6" t="s">
        <v>28</v>
      </c>
      <c r="B126" s="10" t="s">
        <v>29</v>
      </c>
      <c r="C126" s="13">
        <v>330</v>
      </c>
      <c r="D126" s="13">
        <v>210</v>
      </c>
      <c r="E126" s="13">
        <v>330</v>
      </c>
      <c r="F126" s="13">
        <v>330</v>
      </c>
      <c r="G126" s="13">
        <v>210</v>
      </c>
      <c r="H126" s="13">
        <v>90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</row>
    <row r="127" spans="1:26" x14ac:dyDescent="0.35">
      <c r="A127" s="6" t="s">
        <v>30</v>
      </c>
      <c r="B127" s="10" t="s">
        <v>31</v>
      </c>
      <c r="C127" s="13">
        <v>240</v>
      </c>
      <c r="D127" s="13">
        <v>120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49.91</v>
      </c>
    </row>
    <row r="128" spans="1:26" x14ac:dyDescent="0.35">
      <c r="A128" s="6" t="s">
        <v>33</v>
      </c>
      <c r="B128" s="11" t="s">
        <v>36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</row>
    <row r="129" spans="1:26" x14ac:dyDescent="0.35">
      <c r="A129" s="6" t="s">
        <v>35</v>
      </c>
      <c r="B129" s="11" t="s">
        <v>37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</row>
    <row r="130" spans="1:26" x14ac:dyDescent="0.35">
      <c r="A130" s="6" t="s">
        <v>34</v>
      </c>
      <c r="B130" s="11" t="s">
        <v>38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</row>
  </sheetData>
  <mergeCells count="14">
    <mergeCell ref="A2:A3"/>
    <mergeCell ref="C2:Z2"/>
    <mergeCell ref="A21:A22"/>
    <mergeCell ref="C21:Z21"/>
    <mergeCell ref="A40:A41"/>
    <mergeCell ref="C40:Z40"/>
    <mergeCell ref="A116:A117"/>
    <mergeCell ref="C116:Z116"/>
    <mergeCell ref="A59:A60"/>
    <mergeCell ref="C59:Z59"/>
    <mergeCell ref="A78:A79"/>
    <mergeCell ref="C78:Z78"/>
    <mergeCell ref="A97:A98"/>
    <mergeCell ref="C97:Z97"/>
  </mergeCells>
  <conditionalFormatting sqref="C4:Z16">
    <cfRule type="cellIs" dxfId="25" priority="13" operator="equal">
      <formula>0</formula>
    </cfRule>
  </conditionalFormatting>
  <conditionalFormatting sqref="C23:Z35">
    <cfRule type="cellIs" dxfId="24" priority="12" operator="equal">
      <formula>0</formula>
    </cfRule>
  </conditionalFormatting>
  <conditionalFormatting sqref="C42:Z54">
    <cfRule type="cellIs" dxfId="23" priority="10" operator="equal">
      <formula>0</formula>
    </cfRule>
  </conditionalFormatting>
  <conditionalFormatting sqref="C61:Z73">
    <cfRule type="cellIs" dxfId="22" priority="8" operator="equal">
      <formula>0</formula>
    </cfRule>
  </conditionalFormatting>
  <conditionalFormatting sqref="C80:Z92">
    <cfRule type="cellIs" dxfId="21" priority="6" operator="equal">
      <formula>0</formula>
    </cfRule>
  </conditionalFormatting>
  <conditionalFormatting sqref="C99:Z111">
    <cfRule type="cellIs" dxfId="20" priority="4" operator="equal">
      <formula>0</formula>
    </cfRule>
  </conditionalFormatting>
  <conditionalFormatting sqref="C118:Z130">
    <cfRule type="cellIs" dxfId="19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946D-8979-4EF6-A159-AB75D29D4754}">
  <dimension ref="A1:AZ67"/>
  <sheetViews>
    <sheetView topLeftCell="Z1" zoomScale="70" zoomScaleNormal="70" workbookViewId="0">
      <selection activeCell="AB2" sqref="AB2:AZ10"/>
    </sheetView>
  </sheetViews>
  <sheetFormatPr defaultRowHeight="14.5" x14ac:dyDescent="0.35"/>
  <cols>
    <col min="1" max="1" width="9" bestFit="1" customWidth="1"/>
    <col min="2" max="25" width="8.6328125" customWidth="1"/>
    <col min="28" max="28" width="9" bestFit="1" customWidth="1"/>
    <col min="29" max="52" width="8.6328125" customWidth="1"/>
  </cols>
  <sheetData>
    <row r="1" spans="1:52" x14ac:dyDescent="0.35">
      <c r="A1" t="s">
        <v>7</v>
      </c>
      <c r="AB1" t="s">
        <v>42</v>
      </c>
    </row>
    <row r="2" spans="1:52" x14ac:dyDescent="0.35">
      <c r="A2" s="25" t="s">
        <v>41</v>
      </c>
      <c r="B2" s="25" t="s">
        <v>10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AB2" s="25" t="s">
        <v>0</v>
      </c>
      <c r="AC2" s="25" t="s">
        <v>10</v>
      </c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</row>
    <row r="3" spans="1:52" x14ac:dyDescent="0.35">
      <c r="A3" s="25"/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AB3" s="25"/>
      <c r="AC3" s="15">
        <v>1</v>
      </c>
      <c r="AD3" s="15">
        <v>2</v>
      </c>
      <c r="AE3" s="15">
        <v>3</v>
      </c>
      <c r="AF3" s="15">
        <v>4</v>
      </c>
      <c r="AG3" s="15">
        <v>5</v>
      </c>
      <c r="AH3" s="15">
        <v>6</v>
      </c>
      <c r="AI3" s="15">
        <v>7</v>
      </c>
      <c r="AJ3" s="15">
        <v>8</v>
      </c>
      <c r="AK3" s="15">
        <v>9</v>
      </c>
      <c r="AL3" s="15">
        <v>10</v>
      </c>
      <c r="AM3" s="15">
        <v>11</v>
      </c>
      <c r="AN3" s="15">
        <v>12</v>
      </c>
      <c r="AO3" s="15">
        <v>13</v>
      </c>
      <c r="AP3" s="15">
        <v>14</v>
      </c>
      <c r="AQ3" s="15">
        <v>15</v>
      </c>
      <c r="AR3" s="15">
        <v>16</v>
      </c>
      <c r="AS3" s="15">
        <v>17</v>
      </c>
      <c r="AT3" s="15">
        <v>18</v>
      </c>
      <c r="AU3" s="15">
        <v>19</v>
      </c>
      <c r="AV3" s="15">
        <v>20</v>
      </c>
      <c r="AW3" s="15">
        <v>21</v>
      </c>
      <c r="AX3" s="15">
        <v>22</v>
      </c>
      <c r="AY3" s="15">
        <v>23</v>
      </c>
      <c r="AZ3" s="15">
        <v>24</v>
      </c>
    </row>
    <row r="4" spans="1:52" x14ac:dyDescent="0.35">
      <c r="A4" s="16" t="s">
        <v>42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AB4" s="12" t="s">
        <v>7</v>
      </c>
      <c r="AC4" s="17">
        <f>B4</f>
        <v>0</v>
      </c>
      <c r="AD4" s="17">
        <f t="shared" ref="AD4:AZ4" si="0">C4</f>
        <v>0</v>
      </c>
      <c r="AE4" s="17">
        <f t="shared" si="0"/>
        <v>0</v>
      </c>
      <c r="AF4" s="17">
        <f t="shared" si="0"/>
        <v>0</v>
      </c>
      <c r="AG4" s="17">
        <f t="shared" si="0"/>
        <v>0</v>
      </c>
      <c r="AH4" s="17">
        <f t="shared" si="0"/>
        <v>0</v>
      </c>
      <c r="AI4" s="17">
        <f t="shared" si="0"/>
        <v>0</v>
      </c>
      <c r="AJ4" s="17">
        <f t="shared" si="0"/>
        <v>0</v>
      </c>
      <c r="AK4" s="17">
        <f t="shared" si="0"/>
        <v>0</v>
      </c>
      <c r="AL4" s="17">
        <f t="shared" si="0"/>
        <v>0</v>
      </c>
      <c r="AM4" s="17">
        <f t="shared" si="0"/>
        <v>0</v>
      </c>
      <c r="AN4" s="17">
        <f t="shared" si="0"/>
        <v>0</v>
      </c>
      <c r="AO4" s="17">
        <f t="shared" si="0"/>
        <v>0</v>
      </c>
      <c r="AP4" s="17">
        <f t="shared" si="0"/>
        <v>0</v>
      </c>
      <c r="AQ4" s="17">
        <f t="shared" si="0"/>
        <v>0</v>
      </c>
      <c r="AR4" s="17">
        <f t="shared" si="0"/>
        <v>0</v>
      </c>
      <c r="AS4" s="17">
        <f t="shared" si="0"/>
        <v>0</v>
      </c>
      <c r="AT4" s="17">
        <f t="shared" si="0"/>
        <v>0</v>
      </c>
      <c r="AU4" s="17">
        <f t="shared" si="0"/>
        <v>0</v>
      </c>
      <c r="AV4" s="17">
        <f t="shared" si="0"/>
        <v>0</v>
      </c>
      <c r="AW4" s="17">
        <f t="shared" si="0"/>
        <v>0</v>
      </c>
      <c r="AX4" s="17">
        <f t="shared" si="0"/>
        <v>0</v>
      </c>
      <c r="AY4" s="17">
        <f t="shared" si="0"/>
        <v>0</v>
      </c>
      <c r="AZ4" s="17">
        <f t="shared" si="0"/>
        <v>0</v>
      </c>
    </row>
    <row r="5" spans="1:52" x14ac:dyDescent="0.35">
      <c r="A5" s="16" t="s">
        <v>43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AB5" s="12" t="s">
        <v>49</v>
      </c>
      <c r="AC5" s="17">
        <f>B12</f>
        <v>-20.500000000000004</v>
      </c>
      <c r="AD5" s="17">
        <f t="shared" ref="AD5:AZ5" si="1">C12</f>
        <v>0</v>
      </c>
      <c r="AE5" s="17">
        <f t="shared" si="1"/>
        <v>0</v>
      </c>
      <c r="AF5" s="17">
        <f t="shared" si="1"/>
        <v>46.539388203151589</v>
      </c>
      <c r="AG5" s="17">
        <f t="shared" si="1"/>
        <v>0</v>
      </c>
      <c r="AH5" s="17">
        <f t="shared" si="1"/>
        <v>0</v>
      </c>
      <c r="AI5" s="17">
        <f t="shared" si="1"/>
        <v>58.460611796848411</v>
      </c>
      <c r="AJ5" s="17">
        <f t="shared" si="1"/>
        <v>80</v>
      </c>
      <c r="AK5" s="17">
        <f t="shared" si="1"/>
        <v>0</v>
      </c>
      <c r="AL5" s="17">
        <f t="shared" si="1"/>
        <v>-20</v>
      </c>
      <c r="AM5" s="17">
        <f t="shared" si="1"/>
        <v>-20</v>
      </c>
      <c r="AN5" s="17">
        <f t="shared" si="1"/>
        <v>-40</v>
      </c>
      <c r="AO5" s="17">
        <f t="shared" si="1"/>
        <v>80</v>
      </c>
      <c r="AP5" s="17">
        <f t="shared" si="1"/>
        <v>0</v>
      </c>
      <c r="AQ5" s="17">
        <f t="shared" si="1"/>
        <v>-80</v>
      </c>
      <c r="AR5" s="17">
        <f t="shared" si="1"/>
        <v>-33.589143777138702</v>
      </c>
      <c r="AS5" s="17">
        <f t="shared" si="1"/>
        <v>13.5891437771387</v>
      </c>
      <c r="AT5" s="17">
        <f t="shared" si="1"/>
        <v>80</v>
      </c>
      <c r="AU5" s="17">
        <f t="shared" si="1"/>
        <v>20</v>
      </c>
      <c r="AV5" s="17">
        <f t="shared" si="1"/>
        <v>0</v>
      </c>
      <c r="AW5" s="17">
        <f t="shared" si="1"/>
        <v>-51.684545055375111</v>
      </c>
      <c r="AX5" s="17">
        <f t="shared" si="1"/>
        <v>0</v>
      </c>
      <c r="AY5" s="17">
        <f t="shared" si="1"/>
        <v>-61.558953017513431</v>
      </c>
      <c r="AZ5" s="17">
        <f t="shared" si="1"/>
        <v>-51.256501927111458</v>
      </c>
    </row>
    <row r="6" spans="1:52" x14ac:dyDescent="0.35">
      <c r="AB6" s="12" t="s">
        <v>51</v>
      </c>
      <c r="AC6" s="17">
        <f>B20</f>
        <v>-20.500000000000014</v>
      </c>
      <c r="AD6" s="17">
        <f t="shared" ref="AD6:AZ6" si="2">C20</f>
        <v>0</v>
      </c>
      <c r="AE6" s="17">
        <f t="shared" si="2"/>
        <v>0</v>
      </c>
      <c r="AF6" s="17">
        <f t="shared" si="2"/>
        <v>25</v>
      </c>
      <c r="AG6" s="17">
        <f t="shared" si="2"/>
        <v>80</v>
      </c>
      <c r="AH6" s="17">
        <f t="shared" si="2"/>
        <v>0</v>
      </c>
      <c r="AI6" s="17">
        <f t="shared" si="2"/>
        <v>0</v>
      </c>
      <c r="AJ6" s="17">
        <f t="shared" si="2"/>
        <v>80</v>
      </c>
      <c r="AK6" s="17">
        <f t="shared" si="2"/>
        <v>0</v>
      </c>
      <c r="AL6" s="17">
        <f t="shared" si="2"/>
        <v>0</v>
      </c>
      <c r="AM6" s="17">
        <f t="shared" si="2"/>
        <v>-60</v>
      </c>
      <c r="AN6" s="17">
        <f t="shared" si="2"/>
        <v>-20</v>
      </c>
      <c r="AO6" s="17">
        <f t="shared" si="2"/>
        <v>80</v>
      </c>
      <c r="AP6" s="17">
        <f t="shared" si="2"/>
        <v>-60</v>
      </c>
      <c r="AQ6" s="17">
        <f t="shared" si="2"/>
        <v>-60</v>
      </c>
      <c r="AR6" s="17">
        <f t="shared" si="2"/>
        <v>-20</v>
      </c>
      <c r="AS6" s="17">
        <f t="shared" si="2"/>
        <v>60</v>
      </c>
      <c r="AT6" s="17">
        <f t="shared" si="2"/>
        <v>80</v>
      </c>
      <c r="AU6" s="17">
        <f t="shared" si="2"/>
        <v>0</v>
      </c>
      <c r="AV6" s="17">
        <f t="shared" si="2"/>
        <v>-45</v>
      </c>
      <c r="AW6" s="17">
        <f t="shared" si="2"/>
        <v>-60</v>
      </c>
      <c r="AX6" s="17">
        <f t="shared" si="2"/>
        <v>-80</v>
      </c>
      <c r="AY6" s="17">
        <f t="shared" si="2"/>
        <v>0</v>
      </c>
      <c r="AZ6" s="17">
        <f t="shared" si="2"/>
        <v>20.500000000000025</v>
      </c>
    </row>
    <row r="7" spans="1:52" x14ac:dyDescent="0.35">
      <c r="AB7" s="12" t="s">
        <v>53</v>
      </c>
      <c r="AC7" s="17">
        <f>B28</f>
        <v>0</v>
      </c>
      <c r="AD7" s="17">
        <f t="shared" ref="AD7:AZ7" si="3">C28</f>
        <v>0</v>
      </c>
      <c r="AE7" s="17">
        <f t="shared" si="3"/>
        <v>0</v>
      </c>
      <c r="AF7" s="17">
        <f t="shared" si="3"/>
        <v>0</v>
      </c>
      <c r="AG7" s="17">
        <f t="shared" si="3"/>
        <v>0</v>
      </c>
      <c r="AH7" s="17">
        <f t="shared" si="3"/>
        <v>0</v>
      </c>
      <c r="AI7" s="17">
        <f t="shared" si="3"/>
        <v>0</v>
      </c>
      <c r="AJ7" s="17">
        <f t="shared" si="3"/>
        <v>0</v>
      </c>
      <c r="AK7" s="17">
        <f t="shared" si="3"/>
        <v>0</v>
      </c>
      <c r="AL7" s="17">
        <f t="shared" si="3"/>
        <v>0</v>
      </c>
      <c r="AM7" s="17">
        <f t="shared" si="3"/>
        <v>0</v>
      </c>
      <c r="AN7" s="17">
        <f t="shared" si="3"/>
        <v>0</v>
      </c>
      <c r="AO7" s="17">
        <f t="shared" si="3"/>
        <v>0</v>
      </c>
      <c r="AP7" s="17">
        <f t="shared" si="3"/>
        <v>0</v>
      </c>
      <c r="AQ7" s="17">
        <f t="shared" si="3"/>
        <v>0</v>
      </c>
      <c r="AR7" s="17">
        <f t="shared" si="3"/>
        <v>0</v>
      </c>
      <c r="AS7" s="17">
        <f t="shared" si="3"/>
        <v>0</v>
      </c>
      <c r="AT7" s="17">
        <f t="shared" si="3"/>
        <v>0</v>
      </c>
      <c r="AU7" s="17">
        <f t="shared" si="3"/>
        <v>0</v>
      </c>
      <c r="AV7" s="17">
        <f t="shared" si="3"/>
        <v>0</v>
      </c>
      <c r="AW7" s="17">
        <f t="shared" si="3"/>
        <v>0</v>
      </c>
      <c r="AX7" s="17">
        <f t="shared" si="3"/>
        <v>0</v>
      </c>
      <c r="AY7" s="17">
        <f t="shared" si="3"/>
        <v>0</v>
      </c>
      <c r="AZ7" s="17">
        <f t="shared" si="3"/>
        <v>0</v>
      </c>
    </row>
    <row r="8" spans="1:52" x14ac:dyDescent="0.35">
      <c r="AB8" s="12" t="s">
        <v>55</v>
      </c>
      <c r="AC8" s="17">
        <f>B36</f>
        <v>17.42080963067804</v>
      </c>
      <c r="AD8" s="17">
        <f t="shared" ref="AD8:AZ8" si="4">C36</f>
        <v>-37.920809630678036</v>
      </c>
      <c r="AE8" s="17">
        <f t="shared" si="4"/>
        <v>72.590792798946268</v>
      </c>
      <c r="AF8" s="17">
        <f t="shared" si="4"/>
        <v>32.409207201053732</v>
      </c>
      <c r="AG8" s="17">
        <f t="shared" si="4"/>
        <v>80</v>
      </c>
      <c r="AH8" s="17">
        <f t="shared" si="4"/>
        <v>-58.460611796848752</v>
      </c>
      <c r="AI8" s="17">
        <f t="shared" si="4"/>
        <v>0</v>
      </c>
      <c r="AJ8" s="17">
        <f t="shared" si="4"/>
        <v>58.460611796848752</v>
      </c>
      <c r="AK8" s="17">
        <f t="shared" si="4"/>
        <v>0</v>
      </c>
      <c r="AL8" s="17">
        <f t="shared" si="4"/>
        <v>-15.61785236864057</v>
      </c>
      <c r="AM8" s="17">
        <f t="shared" si="4"/>
        <v>15.61785236864057</v>
      </c>
      <c r="AN8" s="17">
        <f t="shared" si="4"/>
        <v>-80</v>
      </c>
      <c r="AO8" s="17">
        <f t="shared" si="4"/>
        <v>80</v>
      </c>
      <c r="AP8" s="17">
        <f t="shared" si="4"/>
        <v>0</v>
      </c>
      <c r="AQ8" s="17">
        <f t="shared" si="4"/>
        <v>-60</v>
      </c>
      <c r="AR8" s="17">
        <f t="shared" si="4"/>
        <v>0</v>
      </c>
      <c r="AS8" s="17">
        <f t="shared" si="4"/>
        <v>0</v>
      </c>
      <c r="AT8" s="17">
        <f t="shared" si="4"/>
        <v>60</v>
      </c>
      <c r="AU8" s="17">
        <f t="shared" si="4"/>
        <v>-20</v>
      </c>
      <c r="AV8" s="17">
        <f t="shared" si="4"/>
        <v>-80</v>
      </c>
      <c r="AW8" s="17">
        <f t="shared" si="4"/>
        <v>-28.284545055373659</v>
      </c>
      <c r="AX8" s="17">
        <f t="shared" si="4"/>
        <v>-56.715454944626337</v>
      </c>
      <c r="AY8" s="17">
        <f t="shared" si="4"/>
        <v>20.5</v>
      </c>
      <c r="AZ8" s="17">
        <f t="shared" si="4"/>
        <v>0</v>
      </c>
    </row>
    <row r="9" spans="1:52" x14ac:dyDescent="0.35">
      <c r="A9" t="s">
        <v>49</v>
      </c>
      <c r="AB9" s="12" t="s">
        <v>57</v>
      </c>
      <c r="AC9" s="17">
        <f>B44</f>
        <v>80</v>
      </c>
      <c r="AD9" s="17">
        <f t="shared" ref="AD9:AZ9" si="5">C44</f>
        <v>-80</v>
      </c>
      <c r="AE9" s="17">
        <f t="shared" si="5"/>
        <v>80</v>
      </c>
      <c r="AF9" s="17">
        <f t="shared" si="5"/>
        <v>25.95561440210599</v>
      </c>
      <c r="AG9" s="17">
        <f t="shared" si="5"/>
        <v>0</v>
      </c>
      <c r="AH9" s="17">
        <f t="shared" si="5"/>
        <v>0</v>
      </c>
      <c r="AI9" s="17">
        <f t="shared" si="5"/>
        <v>58.544385597894014</v>
      </c>
      <c r="AJ9" s="17">
        <f t="shared" si="5"/>
        <v>0</v>
      </c>
      <c r="AK9" s="17">
        <f t="shared" si="5"/>
        <v>0</v>
      </c>
      <c r="AL9" s="17">
        <f t="shared" si="5"/>
        <v>0</v>
      </c>
      <c r="AM9" s="17">
        <f t="shared" si="5"/>
        <v>0</v>
      </c>
      <c r="AN9" s="17">
        <f t="shared" si="5"/>
        <v>-60</v>
      </c>
      <c r="AO9" s="17">
        <f t="shared" si="5"/>
        <v>0</v>
      </c>
      <c r="AP9" s="17">
        <f t="shared" si="5"/>
        <v>0</v>
      </c>
      <c r="AQ9" s="17">
        <f t="shared" si="5"/>
        <v>0</v>
      </c>
      <c r="AR9" s="17">
        <f t="shared" si="5"/>
        <v>60</v>
      </c>
      <c r="AS9" s="17">
        <f t="shared" si="5"/>
        <v>0</v>
      </c>
      <c r="AT9" s="17">
        <f t="shared" si="5"/>
        <v>0</v>
      </c>
      <c r="AU9" s="17">
        <f t="shared" si="5"/>
        <v>-20</v>
      </c>
      <c r="AV9" s="17">
        <f t="shared" si="5"/>
        <v>-60</v>
      </c>
      <c r="AW9" s="17">
        <f t="shared" si="5"/>
        <v>-80</v>
      </c>
      <c r="AX9" s="17">
        <f t="shared" si="5"/>
        <v>-25</v>
      </c>
      <c r="AY9" s="17">
        <f t="shared" si="5"/>
        <v>0</v>
      </c>
      <c r="AZ9" s="17">
        <f t="shared" si="5"/>
        <v>20.500000000000004</v>
      </c>
    </row>
    <row r="10" spans="1:52" x14ac:dyDescent="0.35">
      <c r="A10" s="25" t="s">
        <v>41</v>
      </c>
      <c r="B10" s="25" t="s">
        <v>10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AB10" s="12" t="s">
        <v>59</v>
      </c>
      <c r="AC10" s="17">
        <f>B52</f>
        <v>80</v>
      </c>
      <c r="AD10" s="17">
        <f t="shared" ref="AD10:AZ10" si="6">C52</f>
        <v>0</v>
      </c>
      <c r="AE10" s="17">
        <f t="shared" si="6"/>
        <v>0</v>
      </c>
      <c r="AF10" s="17">
        <f t="shared" si="6"/>
        <v>-80</v>
      </c>
      <c r="AG10" s="17">
        <f t="shared" si="6"/>
        <v>5.0000000000000044</v>
      </c>
      <c r="AH10" s="17">
        <f t="shared" si="6"/>
        <v>-25.5</v>
      </c>
      <c r="AI10" s="17">
        <f t="shared" si="6"/>
        <v>80</v>
      </c>
      <c r="AJ10" s="17">
        <f t="shared" si="6"/>
        <v>50.24846161877349</v>
      </c>
      <c r="AK10" s="17">
        <f t="shared" si="6"/>
        <v>54.75153838122651</v>
      </c>
      <c r="AL10" s="17">
        <f t="shared" si="6"/>
        <v>0</v>
      </c>
      <c r="AM10" s="17">
        <f t="shared" si="6"/>
        <v>0</v>
      </c>
      <c r="AN10" s="17">
        <f t="shared" si="6"/>
        <v>-24.999999999999972</v>
      </c>
      <c r="AO10" s="17">
        <f t="shared" si="6"/>
        <v>-60.000000000000007</v>
      </c>
      <c r="AP10" s="17">
        <f t="shared" si="6"/>
        <v>0</v>
      </c>
      <c r="AQ10" s="17">
        <f t="shared" si="6"/>
        <v>0</v>
      </c>
      <c r="AR10" s="17">
        <f t="shared" si="6"/>
        <v>0</v>
      </c>
      <c r="AS10" s="17">
        <f t="shared" si="6"/>
        <v>0</v>
      </c>
      <c r="AT10" s="17">
        <f t="shared" si="6"/>
        <v>0</v>
      </c>
      <c r="AU10" s="17">
        <f t="shared" si="6"/>
        <v>0</v>
      </c>
      <c r="AV10" s="17">
        <f t="shared" si="6"/>
        <v>0</v>
      </c>
      <c r="AW10" s="17">
        <f t="shared" si="6"/>
        <v>-60.000000000000007</v>
      </c>
      <c r="AX10" s="17">
        <f t="shared" si="6"/>
        <v>-20</v>
      </c>
      <c r="AY10" s="17">
        <f t="shared" si="6"/>
        <v>-20.000000000000011</v>
      </c>
      <c r="AZ10" s="17">
        <f t="shared" si="6"/>
        <v>20.500000000000014</v>
      </c>
    </row>
    <row r="11" spans="1:52" x14ac:dyDescent="0.35">
      <c r="A11" s="25"/>
      <c r="B11" s="15">
        <v>1</v>
      </c>
      <c r="C11" s="15">
        <v>2</v>
      </c>
      <c r="D11" s="15">
        <v>3</v>
      </c>
      <c r="E11" s="15">
        <v>4</v>
      </c>
      <c r="F11" s="15">
        <v>5</v>
      </c>
      <c r="G11" s="15">
        <v>6</v>
      </c>
      <c r="H11" s="15">
        <v>7</v>
      </c>
      <c r="I11" s="15">
        <v>8</v>
      </c>
      <c r="J11" s="15">
        <v>9</v>
      </c>
      <c r="K11" s="15">
        <v>10</v>
      </c>
      <c r="L11" s="15">
        <v>11</v>
      </c>
      <c r="M11" s="15">
        <v>12</v>
      </c>
      <c r="N11" s="15">
        <v>13</v>
      </c>
      <c r="O11" s="15">
        <v>14</v>
      </c>
      <c r="P11" s="15">
        <v>15</v>
      </c>
      <c r="Q11" s="15">
        <v>16</v>
      </c>
      <c r="R11" s="15">
        <v>17</v>
      </c>
      <c r="S11" s="15">
        <v>18</v>
      </c>
      <c r="T11" s="15">
        <v>19</v>
      </c>
      <c r="U11" s="15">
        <v>20</v>
      </c>
      <c r="V11" s="15">
        <v>21</v>
      </c>
      <c r="W11" s="15">
        <v>22</v>
      </c>
      <c r="X11" s="15">
        <v>23</v>
      </c>
      <c r="Y11" s="15">
        <v>24</v>
      </c>
    </row>
    <row r="12" spans="1:52" x14ac:dyDescent="0.35">
      <c r="A12" s="16" t="s">
        <v>42</v>
      </c>
      <c r="B12" s="17">
        <v>-20.500000000000004</v>
      </c>
      <c r="C12" s="17">
        <v>0</v>
      </c>
      <c r="D12" s="17">
        <v>0</v>
      </c>
      <c r="E12" s="17">
        <v>46.539388203151589</v>
      </c>
      <c r="F12" s="17">
        <v>0</v>
      </c>
      <c r="G12" s="17">
        <v>0</v>
      </c>
      <c r="H12" s="17">
        <v>58.460611796848411</v>
      </c>
      <c r="I12" s="17">
        <v>80</v>
      </c>
      <c r="J12" s="17">
        <v>0</v>
      </c>
      <c r="K12" s="17">
        <v>-20</v>
      </c>
      <c r="L12" s="17">
        <v>-20</v>
      </c>
      <c r="M12" s="17">
        <v>-40</v>
      </c>
      <c r="N12" s="17">
        <v>80</v>
      </c>
      <c r="O12" s="17">
        <v>0</v>
      </c>
      <c r="P12" s="17">
        <v>-80</v>
      </c>
      <c r="Q12" s="17">
        <v>-33.589143777138702</v>
      </c>
      <c r="R12" s="17">
        <v>13.5891437771387</v>
      </c>
      <c r="S12" s="17">
        <v>80</v>
      </c>
      <c r="T12" s="17">
        <v>20</v>
      </c>
      <c r="U12" s="17">
        <v>0</v>
      </c>
      <c r="V12" s="17">
        <v>-51.684545055375111</v>
      </c>
      <c r="W12" s="17">
        <v>0</v>
      </c>
      <c r="X12" s="17">
        <v>-61.558953017513431</v>
      </c>
      <c r="Y12" s="17">
        <v>-51.256501927111458</v>
      </c>
    </row>
    <row r="13" spans="1:52" x14ac:dyDescent="0.35">
      <c r="A13" s="16" t="s">
        <v>43</v>
      </c>
      <c r="B13" s="17">
        <v>19.999999999999993</v>
      </c>
      <c r="C13" s="17">
        <v>20</v>
      </c>
      <c r="D13" s="17">
        <v>20</v>
      </c>
      <c r="E13" s="17">
        <v>66.539388203151589</v>
      </c>
      <c r="F13" s="17">
        <v>66.539388203151589</v>
      </c>
      <c r="G13" s="17">
        <v>66.539388203151589</v>
      </c>
      <c r="H13" s="17">
        <v>125</v>
      </c>
      <c r="I13" s="17">
        <v>205</v>
      </c>
      <c r="J13" s="17">
        <v>205</v>
      </c>
      <c r="K13" s="17">
        <v>185</v>
      </c>
      <c r="L13" s="17">
        <v>165</v>
      </c>
      <c r="M13" s="17">
        <v>125</v>
      </c>
      <c r="N13" s="17">
        <v>205</v>
      </c>
      <c r="O13" s="17">
        <v>205</v>
      </c>
      <c r="P13" s="17">
        <v>125</v>
      </c>
      <c r="Q13" s="17">
        <v>91.410856222861298</v>
      </c>
      <c r="R13" s="17">
        <v>105</v>
      </c>
      <c r="S13" s="17">
        <v>185</v>
      </c>
      <c r="T13" s="17">
        <v>205</v>
      </c>
      <c r="U13" s="17">
        <v>205</v>
      </c>
      <c r="V13" s="17">
        <v>153.31545494462489</v>
      </c>
      <c r="W13" s="17">
        <v>153.31545494462489</v>
      </c>
      <c r="X13" s="17">
        <v>91.756501927111458</v>
      </c>
      <c r="Y13" s="17">
        <v>40.5</v>
      </c>
      <c r="AB13" t="s">
        <v>43</v>
      </c>
    </row>
    <row r="14" spans="1:52" x14ac:dyDescent="0.35">
      <c r="AB14" s="25" t="s">
        <v>0</v>
      </c>
      <c r="AC14" s="25" t="s">
        <v>10</v>
      </c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spans="1:52" x14ac:dyDescent="0.35">
      <c r="A15" s="20"/>
      <c r="AB15" s="25"/>
      <c r="AC15" s="15">
        <v>1</v>
      </c>
      <c r="AD15" s="15">
        <v>2</v>
      </c>
      <c r="AE15" s="15">
        <v>3</v>
      </c>
      <c r="AF15" s="15">
        <v>4</v>
      </c>
      <c r="AG15" s="15">
        <v>5</v>
      </c>
      <c r="AH15" s="15">
        <v>6</v>
      </c>
      <c r="AI15" s="15">
        <v>7</v>
      </c>
      <c r="AJ15" s="15">
        <v>8</v>
      </c>
      <c r="AK15" s="15">
        <v>9</v>
      </c>
      <c r="AL15" s="15">
        <v>10</v>
      </c>
      <c r="AM15" s="15">
        <v>11</v>
      </c>
      <c r="AN15" s="15">
        <v>12</v>
      </c>
      <c r="AO15" s="15">
        <v>13</v>
      </c>
      <c r="AP15" s="15">
        <v>14</v>
      </c>
      <c r="AQ15" s="15">
        <v>15</v>
      </c>
      <c r="AR15" s="15">
        <v>16</v>
      </c>
      <c r="AS15" s="15">
        <v>17</v>
      </c>
      <c r="AT15" s="15">
        <v>18</v>
      </c>
      <c r="AU15" s="15">
        <v>19</v>
      </c>
      <c r="AV15" s="15">
        <v>20</v>
      </c>
      <c r="AW15" s="15">
        <v>21</v>
      </c>
      <c r="AX15" s="15">
        <v>22</v>
      </c>
      <c r="AY15" s="15">
        <v>23</v>
      </c>
      <c r="AZ15" s="15">
        <v>24</v>
      </c>
    </row>
    <row r="16" spans="1:52" x14ac:dyDescent="0.35">
      <c r="A16" s="20"/>
      <c r="AB16" s="12" t="s">
        <v>7</v>
      </c>
      <c r="AC16" s="17">
        <f>B5</f>
        <v>0</v>
      </c>
      <c r="AD16" s="17">
        <f t="shared" ref="AD16:AZ16" si="7">C5</f>
        <v>0</v>
      </c>
      <c r="AE16" s="17">
        <f t="shared" si="7"/>
        <v>0</v>
      </c>
      <c r="AF16" s="17">
        <f t="shared" si="7"/>
        <v>0</v>
      </c>
      <c r="AG16" s="17">
        <f t="shared" si="7"/>
        <v>0</v>
      </c>
      <c r="AH16" s="17">
        <f t="shared" si="7"/>
        <v>0</v>
      </c>
      <c r="AI16" s="17">
        <f t="shared" si="7"/>
        <v>0</v>
      </c>
      <c r="AJ16" s="17">
        <f t="shared" si="7"/>
        <v>0</v>
      </c>
      <c r="AK16" s="17">
        <f t="shared" si="7"/>
        <v>0</v>
      </c>
      <c r="AL16" s="17">
        <f t="shared" si="7"/>
        <v>0</v>
      </c>
      <c r="AM16" s="17">
        <f t="shared" si="7"/>
        <v>0</v>
      </c>
      <c r="AN16" s="17">
        <f t="shared" si="7"/>
        <v>0</v>
      </c>
      <c r="AO16" s="17">
        <f t="shared" si="7"/>
        <v>0</v>
      </c>
      <c r="AP16" s="17">
        <f t="shared" si="7"/>
        <v>0</v>
      </c>
      <c r="AQ16" s="17">
        <f t="shared" si="7"/>
        <v>0</v>
      </c>
      <c r="AR16" s="17">
        <f t="shared" si="7"/>
        <v>0</v>
      </c>
      <c r="AS16" s="17">
        <f t="shared" si="7"/>
        <v>0</v>
      </c>
      <c r="AT16" s="17">
        <f t="shared" si="7"/>
        <v>0</v>
      </c>
      <c r="AU16" s="17">
        <f t="shared" si="7"/>
        <v>0</v>
      </c>
      <c r="AV16" s="17">
        <f t="shared" si="7"/>
        <v>0</v>
      </c>
      <c r="AW16" s="17">
        <f t="shared" si="7"/>
        <v>0</v>
      </c>
      <c r="AX16" s="17">
        <f t="shared" si="7"/>
        <v>0</v>
      </c>
      <c r="AY16" s="17">
        <f t="shared" si="7"/>
        <v>0</v>
      </c>
      <c r="AZ16" s="17">
        <f t="shared" si="7"/>
        <v>0</v>
      </c>
    </row>
    <row r="17" spans="1:52" x14ac:dyDescent="0.35">
      <c r="A17" t="s">
        <v>51</v>
      </c>
      <c r="AB17" s="12" t="s">
        <v>49</v>
      </c>
      <c r="AC17" s="17">
        <f>B13</f>
        <v>19.999999999999993</v>
      </c>
      <c r="AD17" s="17">
        <f t="shared" ref="AD17:AZ17" si="8">C13</f>
        <v>20</v>
      </c>
      <c r="AE17" s="17">
        <f t="shared" si="8"/>
        <v>20</v>
      </c>
      <c r="AF17" s="17">
        <f t="shared" si="8"/>
        <v>66.539388203151589</v>
      </c>
      <c r="AG17" s="17">
        <f t="shared" si="8"/>
        <v>66.539388203151589</v>
      </c>
      <c r="AH17" s="17">
        <f t="shared" si="8"/>
        <v>66.539388203151589</v>
      </c>
      <c r="AI17" s="17">
        <f t="shared" si="8"/>
        <v>125</v>
      </c>
      <c r="AJ17" s="17">
        <f t="shared" si="8"/>
        <v>205</v>
      </c>
      <c r="AK17" s="17">
        <f t="shared" si="8"/>
        <v>205</v>
      </c>
      <c r="AL17" s="17">
        <f t="shared" si="8"/>
        <v>185</v>
      </c>
      <c r="AM17" s="17">
        <f t="shared" si="8"/>
        <v>165</v>
      </c>
      <c r="AN17" s="17">
        <f t="shared" si="8"/>
        <v>125</v>
      </c>
      <c r="AO17" s="17">
        <f t="shared" si="8"/>
        <v>205</v>
      </c>
      <c r="AP17" s="17">
        <f t="shared" si="8"/>
        <v>205</v>
      </c>
      <c r="AQ17" s="17">
        <f t="shared" si="8"/>
        <v>125</v>
      </c>
      <c r="AR17" s="17">
        <f t="shared" si="8"/>
        <v>91.410856222861298</v>
      </c>
      <c r="AS17" s="17">
        <f t="shared" si="8"/>
        <v>105</v>
      </c>
      <c r="AT17" s="17">
        <f t="shared" si="8"/>
        <v>185</v>
      </c>
      <c r="AU17" s="17">
        <f t="shared" si="8"/>
        <v>205</v>
      </c>
      <c r="AV17" s="17">
        <f t="shared" si="8"/>
        <v>205</v>
      </c>
      <c r="AW17" s="17">
        <f t="shared" si="8"/>
        <v>153.31545494462489</v>
      </c>
      <c r="AX17" s="17">
        <f t="shared" si="8"/>
        <v>153.31545494462489</v>
      </c>
      <c r="AY17" s="17">
        <f t="shared" si="8"/>
        <v>91.756501927111458</v>
      </c>
      <c r="AZ17" s="17">
        <f t="shared" si="8"/>
        <v>40.5</v>
      </c>
    </row>
    <row r="18" spans="1:52" x14ac:dyDescent="0.35">
      <c r="A18" s="25" t="s">
        <v>41</v>
      </c>
      <c r="B18" s="25" t="s">
        <v>10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AB18" s="12" t="s">
        <v>51</v>
      </c>
      <c r="AC18" s="17">
        <f>B21</f>
        <v>19.999999999999989</v>
      </c>
      <c r="AD18" s="17">
        <f t="shared" ref="AD18:AZ18" si="9">C21</f>
        <v>20</v>
      </c>
      <c r="AE18" s="17">
        <f t="shared" si="9"/>
        <v>20</v>
      </c>
      <c r="AF18" s="17">
        <f t="shared" si="9"/>
        <v>45</v>
      </c>
      <c r="AG18" s="17">
        <f t="shared" si="9"/>
        <v>125</v>
      </c>
      <c r="AH18" s="17">
        <f t="shared" si="9"/>
        <v>125</v>
      </c>
      <c r="AI18" s="17">
        <f t="shared" si="9"/>
        <v>125</v>
      </c>
      <c r="AJ18" s="17">
        <f t="shared" si="9"/>
        <v>205</v>
      </c>
      <c r="AK18" s="17">
        <f t="shared" si="9"/>
        <v>205</v>
      </c>
      <c r="AL18" s="17">
        <f t="shared" si="9"/>
        <v>205</v>
      </c>
      <c r="AM18" s="17">
        <f t="shared" si="9"/>
        <v>145</v>
      </c>
      <c r="AN18" s="17">
        <f t="shared" si="9"/>
        <v>125</v>
      </c>
      <c r="AO18" s="17">
        <f t="shared" si="9"/>
        <v>205</v>
      </c>
      <c r="AP18" s="17">
        <f t="shared" si="9"/>
        <v>145</v>
      </c>
      <c r="AQ18" s="17">
        <f t="shared" si="9"/>
        <v>85</v>
      </c>
      <c r="AR18" s="17">
        <f t="shared" si="9"/>
        <v>65</v>
      </c>
      <c r="AS18" s="17">
        <f t="shared" si="9"/>
        <v>125</v>
      </c>
      <c r="AT18" s="17">
        <f t="shared" si="9"/>
        <v>205</v>
      </c>
      <c r="AU18" s="17">
        <f t="shared" si="9"/>
        <v>205</v>
      </c>
      <c r="AV18" s="17">
        <f t="shared" si="9"/>
        <v>160</v>
      </c>
      <c r="AW18" s="17">
        <f t="shared" si="9"/>
        <v>100</v>
      </c>
      <c r="AX18" s="17">
        <f t="shared" si="9"/>
        <v>20</v>
      </c>
      <c r="AY18" s="17">
        <f t="shared" si="9"/>
        <v>19.999999999999972</v>
      </c>
      <c r="AZ18" s="17">
        <f t="shared" si="9"/>
        <v>40.5</v>
      </c>
    </row>
    <row r="19" spans="1:52" x14ac:dyDescent="0.35">
      <c r="A19" s="25"/>
      <c r="B19" s="15">
        <v>1</v>
      </c>
      <c r="C19" s="15">
        <v>2</v>
      </c>
      <c r="D19" s="15">
        <v>3</v>
      </c>
      <c r="E19" s="15">
        <v>4</v>
      </c>
      <c r="F19" s="15">
        <v>5</v>
      </c>
      <c r="G19" s="15">
        <v>6</v>
      </c>
      <c r="H19" s="15">
        <v>7</v>
      </c>
      <c r="I19" s="15">
        <v>8</v>
      </c>
      <c r="J19" s="15">
        <v>9</v>
      </c>
      <c r="K19" s="15">
        <v>10</v>
      </c>
      <c r="L19" s="15">
        <v>11</v>
      </c>
      <c r="M19" s="15">
        <v>12</v>
      </c>
      <c r="N19" s="15">
        <v>13</v>
      </c>
      <c r="O19" s="15">
        <v>14</v>
      </c>
      <c r="P19" s="15">
        <v>15</v>
      </c>
      <c r="Q19" s="15">
        <v>16</v>
      </c>
      <c r="R19" s="15">
        <v>17</v>
      </c>
      <c r="S19" s="15">
        <v>18</v>
      </c>
      <c r="T19" s="15">
        <v>19</v>
      </c>
      <c r="U19" s="15">
        <v>20</v>
      </c>
      <c r="V19" s="15">
        <v>21</v>
      </c>
      <c r="W19" s="15">
        <v>22</v>
      </c>
      <c r="X19" s="15">
        <v>23</v>
      </c>
      <c r="Y19" s="15">
        <v>24</v>
      </c>
      <c r="AB19" s="12" t="s">
        <v>53</v>
      </c>
      <c r="AC19" s="17">
        <f>B29</f>
        <v>0</v>
      </c>
      <c r="AD19" s="17">
        <f t="shared" ref="AD19:AZ19" si="10">C29</f>
        <v>0</v>
      </c>
      <c r="AE19" s="17">
        <f t="shared" si="10"/>
        <v>0</v>
      </c>
      <c r="AF19" s="17">
        <f t="shared" si="10"/>
        <v>0</v>
      </c>
      <c r="AG19" s="17">
        <f t="shared" si="10"/>
        <v>0</v>
      </c>
      <c r="AH19" s="17">
        <f t="shared" si="10"/>
        <v>0</v>
      </c>
      <c r="AI19" s="17">
        <f t="shared" si="10"/>
        <v>0</v>
      </c>
      <c r="AJ19" s="17">
        <f t="shared" si="10"/>
        <v>0</v>
      </c>
      <c r="AK19" s="17">
        <f t="shared" si="10"/>
        <v>0</v>
      </c>
      <c r="AL19" s="17">
        <f t="shared" si="10"/>
        <v>0</v>
      </c>
      <c r="AM19" s="17">
        <f t="shared" si="10"/>
        <v>0</v>
      </c>
      <c r="AN19" s="17">
        <f t="shared" si="10"/>
        <v>0</v>
      </c>
      <c r="AO19" s="17">
        <f t="shared" si="10"/>
        <v>0</v>
      </c>
      <c r="AP19" s="17">
        <f t="shared" si="10"/>
        <v>0</v>
      </c>
      <c r="AQ19" s="17">
        <f t="shared" si="10"/>
        <v>0</v>
      </c>
      <c r="AR19" s="17">
        <f t="shared" si="10"/>
        <v>0</v>
      </c>
      <c r="AS19" s="17">
        <f t="shared" si="10"/>
        <v>0</v>
      </c>
      <c r="AT19" s="17">
        <f t="shared" si="10"/>
        <v>0</v>
      </c>
      <c r="AU19" s="17">
        <f t="shared" si="10"/>
        <v>0</v>
      </c>
      <c r="AV19" s="17">
        <f t="shared" si="10"/>
        <v>0</v>
      </c>
      <c r="AW19" s="17">
        <f t="shared" si="10"/>
        <v>0</v>
      </c>
      <c r="AX19" s="17">
        <f t="shared" si="10"/>
        <v>0</v>
      </c>
      <c r="AY19" s="17">
        <f t="shared" si="10"/>
        <v>0</v>
      </c>
      <c r="AZ19" s="17">
        <f t="shared" si="10"/>
        <v>0</v>
      </c>
    </row>
    <row r="20" spans="1:52" x14ac:dyDescent="0.35">
      <c r="A20" s="16" t="s">
        <v>42</v>
      </c>
      <c r="B20" s="17">
        <v>-20.500000000000014</v>
      </c>
      <c r="C20" s="17">
        <v>0</v>
      </c>
      <c r="D20" s="17">
        <v>0</v>
      </c>
      <c r="E20" s="17">
        <v>25</v>
      </c>
      <c r="F20" s="17">
        <v>80</v>
      </c>
      <c r="G20" s="17">
        <v>0</v>
      </c>
      <c r="H20" s="17">
        <v>0</v>
      </c>
      <c r="I20" s="17">
        <v>80</v>
      </c>
      <c r="J20" s="17">
        <v>0</v>
      </c>
      <c r="K20" s="17">
        <v>0</v>
      </c>
      <c r="L20" s="17">
        <v>-60</v>
      </c>
      <c r="M20" s="17">
        <v>-20</v>
      </c>
      <c r="N20" s="17">
        <v>80</v>
      </c>
      <c r="O20" s="17">
        <v>-60</v>
      </c>
      <c r="P20" s="17">
        <v>-60</v>
      </c>
      <c r="Q20" s="17">
        <v>-20</v>
      </c>
      <c r="R20" s="17">
        <v>60</v>
      </c>
      <c r="S20" s="17">
        <v>80</v>
      </c>
      <c r="T20" s="17">
        <v>0</v>
      </c>
      <c r="U20" s="17">
        <v>-45</v>
      </c>
      <c r="V20" s="17">
        <v>-60</v>
      </c>
      <c r="W20" s="17">
        <v>-80</v>
      </c>
      <c r="X20" s="17">
        <v>0</v>
      </c>
      <c r="Y20" s="17">
        <v>20.500000000000025</v>
      </c>
      <c r="AB20" s="12" t="s">
        <v>55</v>
      </c>
      <c r="AC20" s="17">
        <f>B37</f>
        <v>57.920809630678036</v>
      </c>
      <c r="AD20" s="17">
        <f t="shared" ref="AD20:AZ20" si="11">C37</f>
        <v>20</v>
      </c>
      <c r="AE20" s="17">
        <f t="shared" si="11"/>
        <v>92.590792798946268</v>
      </c>
      <c r="AF20" s="17">
        <f t="shared" si="11"/>
        <v>125</v>
      </c>
      <c r="AG20" s="17">
        <f t="shared" si="11"/>
        <v>205</v>
      </c>
      <c r="AH20" s="17">
        <f t="shared" si="11"/>
        <v>146.53938820315125</v>
      </c>
      <c r="AI20" s="17">
        <f t="shared" si="11"/>
        <v>146.53938820315125</v>
      </c>
      <c r="AJ20" s="17">
        <f t="shared" si="11"/>
        <v>205</v>
      </c>
      <c r="AK20" s="17">
        <f t="shared" si="11"/>
        <v>205</v>
      </c>
      <c r="AL20" s="17">
        <f t="shared" si="11"/>
        <v>189.3821476313594</v>
      </c>
      <c r="AM20" s="17">
        <f t="shared" si="11"/>
        <v>205</v>
      </c>
      <c r="AN20" s="17">
        <f t="shared" si="11"/>
        <v>125</v>
      </c>
      <c r="AO20" s="17">
        <f t="shared" si="11"/>
        <v>205</v>
      </c>
      <c r="AP20" s="17">
        <f t="shared" si="11"/>
        <v>205</v>
      </c>
      <c r="AQ20" s="17">
        <f t="shared" si="11"/>
        <v>145</v>
      </c>
      <c r="AR20" s="17">
        <f t="shared" si="11"/>
        <v>145</v>
      </c>
      <c r="AS20" s="17">
        <f t="shared" si="11"/>
        <v>145</v>
      </c>
      <c r="AT20" s="17">
        <f t="shared" si="11"/>
        <v>205</v>
      </c>
      <c r="AU20" s="17">
        <f t="shared" si="11"/>
        <v>185</v>
      </c>
      <c r="AV20" s="17">
        <f t="shared" si="11"/>
        <v>105</v>
      </c>
      <c r="AW20" s="17">
        <f t="shared" si="11"/>
        <v>76.715454944626345</v>
      </c>
      <c r="AX20" s="17">
        <f t="shared" si="11"/>
        <v>20</v>
      </c>
      <c r="AY20" s="17">
        <f t="shared" si="11"/>
        <v>40.5</v>
      </c>
      <c r="AZ20" s="17">
        <f t="shared" si="11"/>
        <v>40.5</v>
      </c>
    </row>
    <row r="21" spans="1:52" x14ac:dyDescent="0.35">
      <c r="A21" s="16" t="s">
        <v>43</v>
      </c>
      <c r="B21" s="17">
        <v>19.999999999999989</v>
      </c>
      <c r="C21" s="17">
        <v>20</v>
      </c>
      <c r="D21" s="17">
        <v>20</v>
      </c>
      <c r="E21" s="17">
        <v>45</v>
      </c>
      <c r="F21" s="17">
        <v>125</v>
      </c>
      <c r="G21" s="17">
        <v>125</v>
      </c>
      <c r="H21" s="17">
        <v>125</v>
      </c>
      <c r="I21" s="17">
        <v>205</v>
      </c>
      <c r="J21" s="17">
        <v>205</v>
      </c>
      <c r="K21" s="17">
        <v>205</v>
      </c>
      <c r="L21" s="17">
        <v>145</v>
      </c>
      <c r="M21" s="17">
        <v>125</v>
      </c>
      <c r="N21" s="17">
        <v>205</v>
      </c>
      <c r="O21" s="17">
        <v>145</v>
      </c>
      <c r="P21" s="17">
        <v>85</v>
      </c>
      <c r="Q21" s="17">
        <v>65</v>
      </c>
      <c r="R21" s="17">
        <v>125</v>
      </c>
      <c r="S21" s="17">
        <v>205</v>
      </c>
      <c r="T21" s="17">
        <v>205</v>
      </c>
      <c r="U21" s="17">
        <v>160</v>
      </c>
      <c r="V21" s="17">
        <v>100</v>
      </c>
      <c r="W21" s="17">
        <v>20</v>
      </c>
      <c r="X21" s="17">
        <v>19.999999999999972</v>
      </c>
      <c r="Y21" s="17">
        <v>40.5</v>
      </c>
      <c r="AB21" s="12" t="s">
        <v>57</v>
      </c>
      <c r="AC21" s="17">
        <f>B45</f>
        <v>120.5</v>
      </c>
      <c r="AD21" s="17">
        <f t="shared" ref="AD21:AZ21" si="12">C45</f>
        <v>40.5</v>
      </c>
      <c r="AE21" s="17">
        <f t="shared" si="12"/>
        <v>120.5</v>
      </c>
      <c r="AF21" s="17">
        <f t="shared" si="12"/>
        <v>146.45561440210599</v>
      </c>
      <c r="AG21" s="17">
        <f t="shared" si="12"/>
        <v>146.45561440210599</v>
      </c>
      <c r="AH21" s="17">
        <f t="shared" si="12"/>
        <v>146.45561440210599</v>
      </c>
      <c r="AI21" s="17">
        <f t="shared" si="12"/>
        <v>205</v>
      </c>
      <c r="AJ21" s="17">
        <f t="shared" si="12"/>
        <v>205</v>
      </c>
      <c r="AK21" s="17">
        <f t="shared" si="12"/>
        <v>205</v>
      </c>
      <c r="AL21" s="17">
        <f t="shared" si="12"/>
        <v>205</v>
      </c>
      <c r="AM21" s="17">
        <f t="shared" si="12"/>
        <v>205</v>
      </c>
      <c r="AN21" s="17">
        <f t="shared" si="12"/>
        <v>145</v>
      </c>
      <c r="AO21" s="17">
        <f t="shared" si="12"/>
        <v>145</v>
      </c>
      <c r="AP21" s="17">
        <f t="shared" si="12"/>
        <v>145</v>
      </c>
      <c r="AQ21" s="17">
        <f t="shared" si="12"/>
        <v>145</v>
      </c>
      <c r="AR21" s="17">
        <f t="shared" si="12"/>
        <v>205</v>
      </c>
      <c r="AS21" s="17">
        <f t="shared" si="12"/>
        <v>205</v>
      </c>
      <c r="AT21" s="17">
        <f t="shared" si="12"/>
        <v>205</v>
      </c>
      <c r="AU21" s="17">
        <f t="shared" si="12"/>
        <v>185</v>
      </c>
      <c r="AV21" s="17">
        <f t="shared" si="12"/>
        <v>125</v>
      </c>
      <c r="AW21" s="17">
        <f t="shared" si="12"/>
        <v>45</v>
      </c>
      <c r="AX21" s="17">
        <f t="shared" si="12"/>
        <v>20</v>
      </c>
      <c r="AY21" s="17">
        <f t="shared" si="12"/>
        <v>19.999999999999993</v>
      </c>
      <c r="AZ21" s="17">
        <f t="shared" si="12"/>
        <v>40.5</v>
      </c>
    </row>
    <row r="22" spans="1:52" x14ac:dyDescent="0.35">
      <c r="A22" s="20"/>
      <c r="AB22" s="12" t="s">
        <v>59</v>
      </c>
      <c r="AC22" s="17">
        <f>B53</f>
        <v>120.5</v>
      </c>
      <c r="AD22" s="17">
        <f t="shared" ref="AD22:AZ22" si="13">C53</f>
        <v>120.5</v>
      </c>
      <c r="AE22" s="17">
        <f t="shared" si="13"/>
        <v>120.5</v>
      </c>
      <c r="AF22" s="17">
        <f t="shared" si="13"/>
        <v>40.5</v>
      </c>
      <c r="AG22" s="17">
        <f t="shared" si="13"/>
        <v>45.5</v>
      </c>
      <c r="AH22" s="17">
        <f t="shared" si="13"/>
        <v>20</v>
      </c>
      <c r="AI22" s="17">
        <f t="shared" si="13"/>
        <v>100</v>
      </c>
      <c r="AJ22" s="17">
        <f t="shared" si="13"/>
        <v>150.24846161877349</v>
      </c>
      <c r="AK22" s="17">
        <f t="shared" si="13"/>
        <v>205</v>
      </c>
      <c r="AL22" s="17">
        <f t="shared" si="13"/>
        <v>205</v>
      </c>
      <c r="AM22" s="17">
        <f t="shared" si="13"/>
        <v>205</v>
      </c>
      <c r="AN22" s="17">
        <f t="shared" si="13"/>
        <v>180</v>
      </c>
      <c r="AO22" s="17">
        <f t="shared" si="13"/>
        <v>120.00000000000001</v>
      </c>
      <c r="AP22" s="17">
        <f t="shared" si="13"/>
        <v>120.00000000000001</v>
      </c>
      <c r="AQ22" s="17">
        <f t="shared" si="13"/>
        <v>120.00000000000001</v>
      </c>
      <c r="AR22" s="17">
        <f t="shared" si="13"/>
        <v>120.00000000000001</v>
      </c>
      <c r="AS22" s="17">
        <f t="shared" si="13"/>
        <v>120.00000000000001</v>
      </c>
      <c r="AT22" s="17">
        <f t="shared" si="13"/>
        <v>120.00000000000001</v>
      </c>
      <c r="AU22" s="17">
        <f t="shared" si="13"/>
        <v>120.00000000000001</v>
      </c>
      <c r="AV22" s="17">
        <f t="shared" si="13"/>
        <v>120.00000000000001</v>
      </c>
      <c r="AW22" s="17">
        <f t="shared" si="13"/>
        <v>60</v>
      </c>
      <c r="AX22" s="17">
        <f t="shared" si="13"/>
        <v>40</v>
      </c>
      <c r="AY22" s="17">
        <f t="shared" si="13"/>
        <v>19.999999999999982</v>
      </c>
      <c r="AZ22" s="17">
        <f t="shared" si="13"/>
        <v>40.5</v>
      </c>
    </row>
    <row r="23" spans="1:52" x14ac:dyDescent="0.35">
      <c r="A23" s="20"/>
    </row>
    <row r="24" spans="1:52" x14ac:dyDescent="0.35">
      <c r="A24" s="20"/>
    </row>
    <row r="25" spans="1:52" x14ac:dyDescent="0.35">
      <c r="A25" t="s">
        <v>53</v>
      </c>
    </row>
    <row r="26" spans="1:52" x14ac:dyDescent="0.35">
      <c r="A26" s="25" t="s">
        <v>41</v>
      </c>
      <c r="B26" s="25" t="s">
        <v>10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52" x14ac:dyDescent="0.35">
      <c r="A27" s="25"/>
      <c r="B27" s="15">
        <v>1</v>
      </c>
      <c r="C27" s="15">
        <v>2</v>
      </c>
      <c r="D27" s="15">
        <v>3</v>
      </c>
      <c r="E27" s="15">
        <v>4</v>
      </c>
      <c r="F27" s="15">
        <v>5</v>
      </c>
      <c r="G27" s="15">
        <v>6</v>
      </c>
      <c r="H27" s="15">
        <v>7</v>
      </c>
      <c r="I27" s="15">
        <v>8</v>
      </c>
      <c r="J27" s="15">
        <v>9</v>
      </c>
      <c r="K27" s="15">
        <v>10</v>
      </c>
      <c r="L27" s="15">
        <v>11</v>
      </c>
      <c r="M27" s="15">
        <v>12</v>
      </c>
      <c r="N27" s="15">
        <v>13</v>
      </c>
      <c r="O27" s="15">
        <v>14</v>
      </c>
      <c r="P27" s="15">
        <v>15</v>
      </c>
      <c r="Q27" s="15">
        <v>16</v>
      </c>
      <c r="R27" s="15">
        <v>17</v>
      </c>
      <c r="S27" s="15">
        <v>18</v>
      </c>
      <c r="T27" s="15">
        <v>19</v>
      </c>
      <c r="U27" s="15">
        <v>20</v>
      </c>
      <c r="V27" s="15">
        <v>21</v>
      </c>
      <c r="W27" s="15">
        <v>22</v>
      </c>
      <c r="X27" s="15">
        <v>23</v>
      </c>
      <c r="Y27" s="15">
        <v>24</v>
      </c>
    </row>
    <row r="28" spans="1:52" x14ac:dyDescent="0.35">
      <c r="A28" s="16" t="s">
        <v>42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52" x14ac:dyDescent="0.35">
      <c r="A29" s="16" t="s">
        <v>43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52" x14ac:dyDescent="0.35">
      <c r="A30" s="20"/>
    </row>
    <row r="31" spans="1:52" x14ac:dyDescent="0.35">
      <c r="A31" s="20"/>
    </row>
    <row r="32" spans="1:52" x14ac:dyDescent="0.35">
      <c r="A32" s="20"/>
    </row>
    <row r="33" spans="1:25" x14ac:dyDescent="0.35">
      <c r="A33" t="s">
        <v>55</v>
      </c>
    </row>
    <row r="34" spans="1:25" x14ac:dyDescent="0.35">
      <c r="A34" s="25" t="s">
        <v>41</v>
      </c>
      <c r="B34" s="25" t="s">
        <v>10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 x14ac:dyDescent="0.35">
      <c r="A35" s="25"/>
      <c r="B35" s="15">
        <v>1</v>
      </c>
      <c r="C35" s="15">
        <v>2</v>
      </c>
      <c r="D35" s="15">
        <v>3</v>
      </c>
      <c r="E35" s="15">
        <v>4</v>
      </c>
      <c r="F35" s="15">
        <v>5</v>
      </c>
      <c r="G35" s="15">
        <v>6</v>
      </c>
      <c r="H35" s="15">
        <v>7</v>
      </c>
      <c r="I35" s="15">
        <v>8</v>
      </c>
      <c r="J35" s="15">
        <v>9</v>
      </c>
      <c r="K35" s="15">
        <v>10</v>
      </c>
      <c r="L35" s="15">
        <v>11</v>
      </c>
      <c r="M35" s="15">
        <v>12</v>
      </c>
      <c r="N35" s="15">
        <v>13</v>
      </c>
      <c r="O35" s="15">
        <v>14</v>
      </c>
      <c r="P35" s="15">
        <v>15</v>
      </c>
      <c r="Q35" s="15">
        <v>16</v>
      </c>
      <c r="R35" s="15">
        <v>17</v>
      </c>
      <c r="S35" s="15">
        <v>18</v>
      </c>
      <c r="T35" s="15">
        <v>19</v>
      </c>
      <c r="U35" s="15">
        <v>20</v>
      </c>
      <c r="V35" s="15">
        <v>21</v>
      </c>
      <c r="W35" s="15">
        <v>22</v>
      </c>
      <c r="X35" s="15">
        <v>23</v>
      </c>
      <c r="Y35" s="15">
        <v>24</v>
      </c>
    </row>
    <row r="36" spans="1:25" x14ac:dyDescent="0.35">
      <c r="A36" s="16" t="s">
        <v>42</v>
      </c>
      <c r="B36" s="17">
        <v>17.42080963067804</v>
      </c>
      <c r="C36" s="17">
        <v>-37.920809630678036</v>
      </c>
      <c r="D36" s="17">
        <v>72.590792798946268</v>
      </c>
      <c r="E36" s="17">
        <v>32.409207201053732</v>
      </c>
      <c r="F36" s="17">
        <v>80</v>
      </c>
      <c r="G36" s="17">
        <v>-58.460611796848752</v>
      </c>
      <c r="H36" s="17">
        <v>0</v>
      </c>
      <c r="I36" s="17">
        <v>58.460611796848752</v>
      </c>
      <c r="J36" s="17">
        <v>0</v>
      </c>
      <c r="K36" s="17">
        <v>-15.61785236864057</v>
      </c>
      <c r="L36" s="17">
        <v>15.61785236864057</v>
      </c>
      <c r="M36" s="17">
        <v>-80</v>
      </c>
      <c r="N36" s="17">
        <v>80</v>
      </c>
      <c r="O36" s="17">
        <v>0</v>
      </c>
      <c r="P36" s="17">
        <v>-60</v>
      </c>
      <c r="Q36" s="17">
        <v>0</v>
      </c>
      <c r="R36" s="17">
        <v>0</v>
      </c>
      <c r="S36" s="17">
        <v>60</v>
      </c>
      <c r="T36" s="17">
        <v>-20</v>
      </c>
      <c r="U36" s="17">
        <v>-80</v>
      </c>
      <c r="V36" s="17">
        <v>-28.284545055373659</v>
      </c>
      <c r="W36" s="17">
        <v>-56.715454944626337</v>
      </c>
      <c r="X36" s="17">
        <v>20.5</v>
      </c>
      <c r="Y36" s="17">
        <v>0</v>
      </c>
    </row>
    <row r="37" spans="1:25" x14ac:dyDescent="0.35">
      <c r="A37" s="16" t="s">
        <v>43</v>
      </c>
      <c r="B37" s="17">
        <v>57.920809630678036</v>
      </c>
      <c r="C37" s="17">
        <v>20</v>
      </c>
      <c r="D37" s="17">
        <v>92.590792798946268</v>
      </c>
      <c r="E37" s="17">
        <v>125</v>
      </c>
      <c r="F37" s="17">
        <v>205</v>
      </c>
      <c r="G37" s="17">
        <v>146.53938820315125</v>
      </c>
      <c r="H37" s="17">
        <v>146.53938820315125</v>
      </c>
      <c r="I37" s="17">
        <v>205</v>
      </c>
      <c r="J37" s="17">
        <v>205</v>
      </c>
      <c r="K37" s="17">
        <v>189.3821476313594</v>
      </c>
      <c r="L37" s="17">
        <v>205</v>
      </c>
      <c r="M37" s="17">
        <v>125</v>
      </c>
      <c r="N37" s="17">
        <v>205</v>
      </c>
      <c r="O37" s="17">
        <v>205</v>
      </c>
      <c r="P37" s="17">
        <v>145</v>
      </c>
      <c r="Q37" s="17">
        <v>145</v>
      </c>
      <c r="R37" s="17">
        <v>145</v>
      </c>
      <c r="S37" s="17">
        <v>205</v>
      </c>
      <c r="T37" s="17">
        <v>185</v>
      </c>
      <c r="U37" s="17">
        <v>105</v>
      </c>
      <c r="V37" s="17">
        <v>76.715454944626345</v>
      </c>
      <c r="W37" s="17">
        <v>20</v>
      </c>
      <c r="X37" s="17">
        <v>40.5</v>
      </c>
      <c r="Y37" s="17">
        <v>40.5</v>
      </c>
    </row>
    <row r="40" spans="1:25" x14ac:dyDescent="0.35">
      <c r="A40" s="20"/>
    </row>
    <row r="41" spans="1:25" x14ac:dyDescent="0.35">
      <c r="A41" t="s">
        <v>57</v>
      </c>
    </row>
    <row r="42" spans="1:25" x14ac:dyDescent="0.35">
      <c r="A42" s="25" t="s">
        <v>41</v>
      </c>
      <c r="B42" s="25" t="s">
        <v>10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 x14ac:dyDescent="0.35">
      <c r="A43" s="25"/>
      <c r="B43" s="15">
        <v>1</v>
      </c>
      <c r="C43" s="15">
        <v>2</v>
      </c>
      <c r="D43" s="15">
        <v>3</v>
      </c>
      <c r="E43" s="15">
        <v>4</v>
      </c>
      <c r="F43" s="15">
        <v>5</v>
      </c>
      <c r="G43" s="15">
        <v>6</v>
      </c>
      <c r="H43" s="15">
        <v>7</v>
      </c>
      <c r="I43" s="15">
        <v>8</v>
      </c>
      <c r="J43" s="15">
        <v>9</v>
      </c>
      <c r="K43" s="15">
        <v>10</v>
      </c>
      <c r="L43" s="15">
        <v>11</v>
      </c>
      <c r="M43" s="15">
        <v>12</v>
      </c>
      <c r="N43" s="15">
        <v>13</v>
      </c>
      <c r="O43" s="15">
        <v>14</v>
      </c>
      <c r="P43" s="15">
        <v>15</v>
      </c>
      <c r="Q43" s="15">
        <v>16</v>
      </c>
      <c r="R43" s="15">
        <v>17</v>
      </c>
      <c r="S43" s="15">
        <v>18</v>
      </c>
      <c r="T43" s="15">
        <v>19</v>
      </c>
      <c r="U43" s="15">
        <v>20</v>
      </c>
      <c r="V43" s="15">
        <v>21</v>
      </c>
      <c r="W43" s="15">
        <v>22</v>
      </c>
      <c r="X43" s="15">
        <v>23</v>
      </c>
      <c r="Y43" s="15">
        <v>24</v>
      </c>
    </row>
    <row r="44" spans="1:25" x14ac:dyDescent="0.35">
      <c r="A44" s="16" t="s">
        <v>42</v>
      </c>
      <c r="B44" s="17">
        <v>80</v>
      </c>
      <c r="C44" s="17">
        <v>-80</v>
      </c>
      <c r="D44" s="17">
        <v>80</v>
      </c>
      <c r="E44" s="17">
        <v>25.95561440210599</v>
      </c>
      <c r="F44" s="17">
        <v>0</v>
      </c>
      <c r="G44" s="17">
        <v>0</v>
      </c>
      <c r="H44" s="17">
        <v>58.544385597894014</v>
      </c>
      <c r="I44" s="17">
        <v>0</v>
      </c>
      <c r="J44" s="17">
        <v>0</v>
      </c>
      <c r="K44" s="17">
        <v>0</v>
      </c>
      <c r="L44" s="17">
        <v>0</v>
      </c>
      <c r="M44" s="17">
        <v>-60</v>
      </c>
      <c r="N44" s="17">
        <v>0</v>
      </c>
      <c r="O44" s="17">
        <v>0</v>
      </c>
      <c r="P44" s="17">
        <v>0</v>
      </c>
      <c r="Q44" s="17">
        <v>60</v>
      </c>
      <c r="R44" s="17">
        <v>0</v>
      </c>
      <c r="S44" s="17">
        <v>0</v>
      </c>
      <c r="T44" s="17">
        <v>-20</v>
      </c>
      <c r="U44" s="17">
        <v>-60</v>
      </c>
      <c r="V44" s="17">
        <v>-80</v>
      </c>
      <c r="W44" s="17">
        <v>-25</v>
      </c>
      <c r="X44" s="17">
        <v>0</v>
      </c>
      <c r="Y44" s="17">
        <v>20.500000000000004</v>
      </c>
    </row>
    <row r="45" spans="1:25" x14ac:dyDescent="0.35">
      <c r="A45" s="16" t="s">
        <v>43</v>
      </c>
      <c r="B45" s="17">
        <v>120.5</v>
      </c>
      <c r="C45" s="17">
        <v>40.5</v>
      </c>
      <c r="D45" s="17">
        <v>120.5</v>
      </c>
      <c r="E45" s="17">
        <v>146.45561440210599</v>
      </c>
      <c r="F45" s="17">
        <v>146.45561440210599</v>
      </c>
      <c r="G45" s="17">
        <v>146.45561440210599</v>
      </c>
      <c r="H45" s="17">
        <v>205</v>
      </c>
      <c r="I45" s="17">
        <v>205</v>
      </c>
      <c r="J45" s="17">
        <v>205</v>
      </c>
      <c r="K45" s="17">
        <v>205</v>
      </c>
      <c r="L45" s="17">
        <v>205</v>
      </c>
      <c r="M45" s="17">
        <v>145</v>
      </c>
      <c r="N45" s="17">
        <v>145</v>
      </c>
      <c r="O45" s="17">
        <v>145</v>
      </c>
      <c r="P45" s="17">
        <v>145</v>
      </c>
      <c r="Q45" s="17">
        <v>205</v>
      </c>
      <c r="R45" s="17">
        <v>205</v>
      </c>
      <c r="S45" s="17">
        <v>205</v>
      </c>
      <c r="T45" s="17">
        <v>185</v>
      </c>
      <c r="U45" s="17">
        <v>125</v>
      </c>
      <c r="V45" s="17">
        <v>45</v>
      </c>
      <c r="W45" s="17">
        <v>20</v>
      </c>
      <c r="X45" s="17">
        <v>19.999999999999993</v>
      </c>
      <c r="Y45" s="17">
        <v>40.5</v>
      </c>
    </row>
    <row r="46" spans="1:25" x14ac:dyDescent="0.35">
      <c r="A46" s="20"/>
    </row>
    <row r="47" spans="1:25" x14ac:dyDescent="0.35">
      <c r="A47" s="20"/>
    </row>
    <row r="48" spans="1:25" x14ac:dyDescent="0.35">
      <c r="A48" s="20"/>
    </row>
    <row r="49" spans="1:25" x14ac:dyDescent="0.35">
      <c r="A49" t="s">
        <v>59</v>
      </c>
    </row>
    <row r="50" spans="1:25" x14ac:dyDescent="0.35">
      <c r="A50" s="25" t="s">
        <v>41</v>
      </c>
      <c r="B50" s="25" t="s">
        <v>10</v>
      </c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 x14ac:dyDescent="0.35">
      <c r="A51" s="25"/>
      <c r="B51" s="15">
        <v>1</v>
      </c>
      <c r="C51" s="15">
        <v>2</v>
      </c>
      <c r="D51" s="15">
        <v>3</v>
      </c>
      <c r="E51" s="15">
        <v>4</v>
      </c>
      <c r="F51" s="15">
        <v>5</v>
      </c>
      <c r="G51" s="15">
        <v>6</v>
      </c>
      <c r="H51" s="15">
        <v>7</v>
      </c>
      <c r="I51" s="15">
        <v>8</v>
      </c>
      <c r="J51" s="15">
        <v>9</v>
      </c>
      <c r="K51" s="15">
        <v>10</v>
      </c>
      <c r="L51" s="15">
        <v>11</v>
      </c>
      <c r="M51" s="15">
        <v>12</v>
      </c>
      <c r="N51" s="15">
        <v>13</v>
      </c>
      <c r="O51" s="15">
        <v>14</v>
      </c>
      <c r="P51" s="15">
        <v>15</v>
      </c>
      <c r="Q51" s="15">
        <v>16</v>
      </c>
      <c r="R51" s="15">
        <v>17</v>
      </c>
      <c r="S51" s="15">
        <v>18</v>
      </c>
      <c r="T51" s="15">
        <v>19</v>
      </c>
      <c r="U51" s="15">
        <v>20</v>
      </c>
      <c r="V51" s="15">
        <v>21</v>
      </c>
      <c r="W51" s="15">
        <v>22</v>
      </c>
      <c r="X51" s="15">
        <v>23</v>
      </c>
      <c r="Y51" s="15">
        <v>24</v>
      </c>
    </row>
    <row r="52" spans="1:25" x14ac:dyDescent="0.35">
      <c r="A52" s="16" t="s">
        <v>42</v>
      </c>
      <c r="B52" s="17">
        <v>80</v>
      </c>
      <c r="C52" s="17">
        <v>0</v>
      </c>
      <c r="D52" s="17">
        <v>0</v>
      </c>
      <c r="E52" s="17">
        <v>-80</v>
      </c>
      <c r="F52" s="17">
        <v>5.0000000000000044</v>
      </c>
      <c r="G52" s="17">
        <v>-25.5</v>
      </c>
      <c r="H52" s="17">
        <v>80</v>
      </c>
      <c r="I52" s="17">
        <v>50.24846161877349</v>
      </c>
      <c r="J52" s="17">
        <v>54.75153838122651</v>
      </c>
      <c r="K52" s="17">
        <v>0</v>
      </c>
      <c r="L52" s="17">
        <v>0</v>
      </c>
      <c r="M52" s="17">
        <v>-24.999999999999972</v>
      </c>
      <c r="N52" s="17">
        <v>-60.000000000000007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-60.000000000000007</v>
      </c>
      <c r="W52" s="17">
        <v>-20</v>
      </c>
      <c r="X52" s="17">
        <v>-20.000000000000011</v>
      </c>
      <c r="Y52" s="17">
        <v>20.500000000000014</v>
      </c>
    </row>
    <row r="53" spans="1:25" x14ac:dyDescent="0.35">
      <c r="A53" s="16" t="s">
        <v>43</v>
      </c>
      <c r="B53" s="17">
        <v>120.5</v>
      </c>
      <c r="C53" s="17">
        <v>120.5</v>
      </c>
      <c r="D53" s="17">
        <v>120.5</v>
      </c>
      <c r="E53" s="17">
        <v>40.5</v>
      </c>
      <c r="F53" s="17">
        <v>45.5</v>
      </c>
      <c r="G53" s="17">
        <v>20</v>
      </c>
      <c r="H53" s="17">
        <v>100</v>
      </c>
      <c r="I53" s="17">
        <v>150.24846161877349</v>
      </c>
      <c r="J53" s="17">
        <v>205</v>
      </c>
      <c r="K53" s="17">
        <v>205</v>
      </c>
      <c r="L53" s="17">
        <v>205</v>
      </c>
      <c r="M53" s="17">
        <v>180</v>
      </c>
      <c r="N53" s="17">
        <v>120.00000000000001</v>
      </c>
      <c r="O53" s="17">
        <v>120.00000000000001</v>
      </c>
      <c r="P53" s="17">
        <v>120.00000000000001</v>
      </c>
      <c r="Q53" s="17">
        <v>120.00000000000001</v>
      </c>
      <c r="R53" s="17">
        <v>120.00000000000001</v>
      </c>
      <c r="S53" s="17">
        <v>120.00000000000001</v>
      </c>
      <c r="T53" s="17">
        <v>120.00000000000001</v>
      </c>
      <c r="U53" s="17">
        <v>120.00000000000001</v>
      </c>
      <c r="V53" s="17">
        <v>60</v>
      </c>
      <c r="W53" s="17">
        <v>40</v>
      </c>
      <c r="X53" s="17">
        <v>19.999999999999982</v>
      </c>
      <c r="Y53" s="17">
        <v>40.5</v>
      </c>
    </row>
    <row r="54" spans="1:25" x14ac:dyDescent="0.35">
      <c r="A54" s="20"/>
    </row>
    <row r="55" spans="1:25" x14ac:dyDescent="0.35">
      <c r="A55" s="20"/>
    </row>
    <row r="56" spans="1:25" x14ac:dyDescent="0.35">
      <c r="A56" s="20"/>
    </row>
    <row r="57" spans="1:25" x14ac:dyDescent="0.35">
      <c r="A57" s="20"/>
    </row>
    <row r="58" spans="1:25" x14ac:dyDescent="0.35">
      <c r="A58" s="20"/>
    </row>
    <row r="59" spans="1:25" x14ac:dyDescent="0.35">
      <c r="A59" s="20"/>
    </row>
    <row r="60" spans="1:25" x14ac:dyDescent="0.35">
      <c r="A60" s="20"/>
    </row>
    <row r="61" spans="1:25" x14ac:dyDescent="0.35">
      <c r="A61" s="20"/>
    </row>
    <row r="62" spans="1:25" x14ac:dyDescent="0.35">
      <c r="A62" s="20"/>
    </row>
    <row r="63" spans="1:25" x14ac:dyDescent="0.35">
      <c r="A63" s="20"/>
    </row>
    <row r="64" spans="1:25" x14ac:dyDescent="0.35">
      <c r="A64" s="20"/>
    </row>
    <row r="65" spans="1:1" x14ac:dyDescent="0.35">
      <c r="A65" s="20"/>
    </row>
    <row r="66" spans="1:1" x14ac:dyDescent="0.35">
      <c r="A66" s="20"/>
    </row>
    <row r="67" spans="1:1" x14ac:dyDescent="0.35">
      <c r="A67" s="20"/>
    </row>
  </sheetData>
  <mergeCells count="18">
    <mergeCell ref="A18:A19"/>
    <mergeCell ref="B18:Y18"/>
    <mergeCell ref="A50:A51"/>
    <mergeCell ref="B50:Y50"/>
    <mergeCell ref="AB2:AB3"/>
    <mergeCell ref="AC2:AZ2"/>
    <mergeCell ref="AB14:AB15"/>
    <mergeCell ref="AC14:AZ14"/>
    <mergeCell ref="A26:A27"/>
    <mergeCell ref="B26:Y26"/>
    <mergeCell ref="A34:A35"/>
    <mergeCell ref="B34:Y34"/>
    <mergeCell ref="A42:A43"/>
    <mergeCell ref="B42:Y42"/>
    <mergeCell ref="A2:A3"/>
    <mergeCell ref="B2:Y2"/>
    <mergeCell ref="A10:A11"/>
    <mergeCell ref="B10:Y10"/>
  </mergeCells>
  <conditionalFormatting sqref="B4:Y5">
    <cfRule type="cellIs" dxfId="18" priority="11" operator="equal">
      <formula>0</formula>
    </cfRule>
  </conditionalFormatting>
  <conditionalFormatting sqref="B12:Y13">
    <cfRule type="cellIs" dxfId="17" priority="10" operator="equal">
      <formula>0</formula>
    </cfRule>
  </conditionalFormatting>
  <conditionalFormatting sqref="B20:Y21">
    <cfRule type="cellIs" dxfId="16" priority="9" operator="equal">
      <formula>0</formula>
    </cfRule>
  </conditionalFormatting>
  <conditionalFormatting sqref="B28:Y29">
    <cfRule type="cellIs" dxfId="15" priority="8" operator="equal">
      <formula>0</formula>
    </cfRule>
  </conditionalFormatting>
  <conditionalFormatting sqref="B36:Y37">
    <cfRule type="cellIs" dxfId="14" priority="7" operator="equal">
      <formula>0</formula>
    </cfRule>
  </conditionalFormatting>
  <conditionalFormatting sqref="B44:Y45">
    <cfRule type="cellIs" dxfId="13" priority="6" operator="equal">
      <formula>0</formula>
    </cfRule>
  </conditionalFormatting>
  <conditionalFormatting sqref="B52:Y53">
    <cfRule type="cellIs" dxfId="12" priority="5" operator="equal">
      <formula>0</formula>
    </cfRule>
  </conditionalFormatting>
  <conditionalFormatting sqref="AC4:AZ10">
    <cfRule type="cellIs" dxfId="11" priority="3" operator="equal">
      <formula>0</formula>
    </cfRule>
  </conditionalFormatting>
  <conditionalFormatting sqref="AC16:AZ22">
    <cfRule type="cellIs" dxfId="10" priority="1" operator="equal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0296-8A47-4ACB-BE1F-F53A9BF00571}">
  <dimension ref="A1:AZ60"/>
  <sheetViews>
    <sheetView tabSelected="1" topLeftCell="Y37" zoomScale="70" zoomScaleNormal="70" workbookViewId="0">
      <selection activeCell="AT50" sqref="AT50"/>
    </sheetView>
  </sheetViews>
  <sheetFormatPr defaultRowHeight="14.5" x14ac:dyDescent="0.35"/>
  <cols>
    <col min="1" max="1" width="12.6328125" customWidth="1"/>
    <col min="2" max="25" width="6.6328125" customWidth="1"/>
    <col min="28" max="28" width="9" bestFit="1" customWidth="1"/>
    <col min="29" max="52" width="8.6328125" customWidth="1"/>
  </cols>
  <sheetData>
    <row r="1" spans="1:52" x14ac:dyDescent="0.35">
      <c r="A1" t="s">
        <v>7</v>
      </c>
      <c r="AB1" t="s">
        <v>44</v>
      </c>
    </row>
    <row r="2" spans="1:52" s="5" customFormat="1" x14ac:dyDescent="0.35">
      <c r="A2" s="23" t="s">
        <v>47</v>
      </c>
      <c r="B2" s="26" t="s">
        <v>10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AB2" s="25" t="s">
        <v>0</v>
      </c>
      <c r="AC2" s="25" t="s">
        <v>10</v>
      </c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</row>
    <row r="3" spans="1:52" s="5" customFormat="1" x14ac:dyDescent="0.35">
      <c r="A3" s="23"/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>
        <v>13</v>
      </c>
      <c r="O3" s="7">
        <v>14</v>
      </c>
      <c r="P3" s="7">
        <v>15</v>
      </c>
      <c r="Q3" s="7">
        <v>16</v>
      </c>
      <c r="R3" s="7">
        <v>17</v>
      </c>
      <c r="S3" s="7">
        <v>18</v>
      </c>
      <c r="T3" s="7">
        <v>19</v>
      </c>
      <c r="U3" s="7">
        <v>20</v>
      </c>
      <c r="V3" s="7">
        <v>21</v>
      </c>
      <c r="W3" s="7">
        <v>22</v>
      </c>
      <c r="X3" s="7">
        <v>23</v>
      </c>
      <c r="Y3" s="7">
        <v>24</v>
      </c>
      <c r="AB3" s="25"/>
      <c r="AC3" s="15">
        <v>1</v>
      </c>
      <c r="AD3" s="15">
        <v>2</v>
      </c>
      <c r="AE3" s="15">
        <v>3</v>
      </c>
      <c r="AF3" s="15">
        <v>4</v>
      </c>
      <c r="AG3" s="15">
        <v>5</v>
      </c>
      <c r="AH3" s="15">
        <v>6</v>
      </c>
      <c r="AI3" s="15">
        <v>7</v>
      </c>
      <c r="AJ3" s="15">
        <v>8</v>
      </c>
      <c r="AK3" s="15">
        <v>9</v>
      </c>
      <c r="AL3" s="15">
        <v>10</v>
      </c>
      <c r="AM3" s="15">
        <v>11</v>
      </c>
      <c r="AN3" s="15">
        <v>12</v>
      </c>
      <c r="AO3" s="15">
        <v>13</v>
      </c>
      <c r="AP3" s="15">
        <v>14</v>
      </c>
      <c r="AQ3" s="15">
        <v>15</v>
      </c>
      <c r="AR3" s="15">
        <v>16</v>
      </c>
      <c r="AS3" s="15">
        <v>17</v>
      </c>
      <c r="AT3" s="15">
        <v>18</v>
      </c>
      <c r="AU3" s="15">
        <v>19</v>
      </c>
      <c r="AV3" s="15">
        <v>20</v>
      </c>
      <c r="AW3" s="15">
        <v>21</v>
      </c>
      <c r="AX3" s="15">
        <v>22</v>
      </c>
      <c r="AY3" s="15">
        <v>23</v>
      </c>
      <c r="AZ3" s="15">
        <v>24</v>
      </c>
    </row>
    <row r="4" spans="1:52" x14ac:dyDescent="0.35">
      <c r="A4" s="18" t="s">
        <v>44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AB4" s="12" t="s">
        <v>7</v>
      </c>
      <c r="AC4" s="17">
        <f>B4</f>
        <v>0</v>
      </c>
      <c r="AD4" s="17">
        <f t="shared" ref="AD4:AZ4" si="0">C4</f>
        <v>0</v>
      </c>
      <c r="AE4" s="17">
        <f t="shared" si="0"/>
        <v>0</v>
      </c>
      <c r="AF4" s="17">
        <f t="shared" si="0"/>
        <v>0</v>
      </c>
      <c r="AG4" s="17">
        <f t="shared" si="0"/>
        <v>0</v>
      </c>
      <c r="AH4" s="17">
        <f t="shared" si="0"/>
        <v>0</v>
      </c>
      <c r="AI4" s="17">
        <f t="shared" si="0"/>
        <v>0</v>
      </c>
      <c r="AJ4" s="17">
        <f t="shared" si="0"/>
        <v>0</v>
      </c>
      <c r="AK4" s="17">
        <f t="shared" si="0"/>
        <v>0</v>
      </c>
      <c r="AL4" s="17">
        <f t="shared" si="0"/>
        <v>0</v>
      </c>
      <c r="AM4" s="17">
        <f t="shared" si="0"/>
        <v>0</v>
      </c>
      <c r="AN4" s="17">
        <f t="shared" si="0"/>
        <v>0</v>
      </c>
      <c r="AO4" s="17">
        <f t="shared" si="0"/>
        <v>0</v>
      </c>
      <c r="AP4" s="17">
        <f t="shared" si="0"/>
        <v>0</v>
      </c>
      <c r="AQ4" s="17">
        <f t="shared" si="0"/>
        <v>0</v>
      </c>
      <c r="AR4" s="17">
        <f t="shared" si="0"/>
        <v>0</v>
      </c>
      <c r="AS4" s="17">
        <f t="shared" si="0"/>
        <v>0</v>
      </c>
      <c r="AT4" s="17">
        <f t="shared" si="0"/>
        <v>0</v>
      </c>
      <c r="AU4" s="17">
        <f t="shared" si="0"/>
        <v>0</v>
      </c>
      <c r="AV4" s="17">
        <f t="shared" si="0"/>
        <v>0</v>
      </c>
      <c r="AW4" s="17">
        <f t="shared" si="0"/>
        <v>0</v>
      </c>
      <c r="AX4" s="17">
        <f t="shared" si="0"/>
        <v>0</v>
      </c>
      <c r="AY4" s="17">
        <f t="shared" si="0"/>
        <v>0</v>
      </c>
      <c r="AZ4" s="17">
        <f t="shared" si="0"/>
        <v>0</v>
      </c>
    </row>
    <row r="5" spans="1:52" x14ac:dyDescent="0.35">
      <c r="A5" s="18" t="s">
        <v>45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AB5" s="12" t="s">
        <v>49</v>
      </c>
      <c r="AC5" s="17">
        <f>B13</f>
        <v>0</v>
      </c>
      <c r="AD5" s="17">
        <f t="shared" ref="AD5:AZ5" si="1">C13</f>
        <v>0</v>
      </c>
      <c r="AE5" s="17">
        <f t="shared" si="1"/>
        <v>0</v>
      </c>
      <c r="AF5" s="17">
        <f t="shared" si="1"/>
        <v>0</v>
      </c>
      <c r="AG5" s="17">
        <f t="shared" si="1"/>
        <v>0</v>
      </c>
      <c r="AH5" s="17">
        <f t="shared" si="1"/>
        <v>0</v>
      </c>
      <c r="AI5" s="17">
        <f t="shared" si="1"/>
        <v>0</v>
      </c>
      <c r="AJ5" s="17">
        <f t="shared" si="1"/>
        <v>0</v>
      </c>
      <c r="AK5" s="17">
        <f t="shared" si="1"/>
        <v>0</v>
      </c>
      <c r="AL5" s="17">
        <f t="shared" si="1"/>
        <v>0</v>
      </c>
      <c r="AM5" s="17">
        <f t="shared" si="1"/>
        <v>0</v>
      </c>
      <c r="AN5" s="17">
        <f t="shared" si="1"/>
        <v>0</v>
      </c>
      <c r="AO5" s="17">
        <f t="shared" si="1"/>
        <v>0</v>
      </c>
      <c r="AP5" s="17">
        <f t="shared" si="1"/>
        <v>0</v>
      </c>
      <c r="AQ5" s="17">
        <f t="shared" si="1"/>
        <v>0</v>
      </c>
      <c r="AR5" s="17">
        <f t="shared" si="1"/>
        <v>0</v>
      </c>
      <c r="AS5" s="17">
        <f t="shared" si="1"/>
        <v>0</v>
      </c>
      <c r="AT5" s="17">
        <f t="shared" si="1"/>
        <v>0</v>
      </c>
      <c r="AU5" s="17">
        <f t="shared" si="1"/>
        <v>0</v>
      </c>
      <c r="AV5" s="17">
        <f t="shared" si="1"/>
        <v>0</v>
      </c>
      <c r="AW5" s="17">
        <f t="shared" si="1"/>
        <v>0</v>
      </c>
      <c r="AX5" s="17">
        <f t="shared" si="1"/>
        <v>0</v>
      </c>
      <c r="AY5" s="17">
        <f t="shared" si="1"/>
        <v>0</v>
      </c>
      <c r="AZ5" s="17">
        <f t="shared" si="1"/>
        <v>0</v>
      </c>
    </row>
    <row r="6" spans="1:52" x14ac:dyDescent="0.35">
      <c r="A6" s="18" t="s">
        <v>46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AB6" s="12" t="s">
        <v>51</v>
      </c>
      <c r="AC6" s="17">
        <f>B22</f>
        <v>400</v>
      </c>
      <c r="AD6" s="17">
        <f t="shared" ref="AD6:AZ6" si="2">C22</f>
        <v>338.51</v>
      </c>
      <c r="AE6" s="17">
        <f t="shared" si="2"/>
        <v>347.43</v>
      </c>
      <c r="AF6" s="17">
        <f t="shared" si="2"/>
        <v>333.57</v>
      </c>
      <c r="AG6" s="17">
        <f t="shared" si="2"/>
        <v>371.75</v>
      </c>
      <c r="AH6" s="17">
        <f t="shared" si="2"/>
        <v>272.38</v>
      </c>
      <c r="AI6" s="17">
        <f t="shared" si="2"/>
        <v>309.17</v>
      </c>
      <c r="AJ6" s="17">
        <f t="shared" si="2"/>
        <v>237.33</v>
      </c>
      <c r="AK6" s="17">
        <f t="shared" si="2"/>
        <v>308.58999999999997</v>
      </c>
      <c r="AL6" s="17">
        <f t="shared" si="2"/>
        <v>390.99</v>
      </c>
      <c r="AM6" s="17">
        <f t="shared" si="2"/>
        <v>288.67</v>
      </c>
      <c r="AN6" s="17">
        <f t="shared" si="2"/>
        <v>180.56</v>
      </c>
      <c r="AO6" s="17">
        <f t="shared" si="2"/>
        <v>118.54</v>
      </c>
      <c r="AP6" s="17">
        <f t="shared" si="2"/>
        <v>134.03</v>
      </c>
      <c r="AQ6" s="17">
        <f t="shared" si="2"/>
        <v>127.09</v>
      </c>
      <c r="AR6" s="17">
        <f t="shared" si="2"/>
        <v>101.32</v>
      </c>
      <c r="AS6" s="17">
        <f t="shared" si="2"/>
        <v>185.4</v>
      </c>
      <c r="AT6" s="17">
        <f t="shared" si="2"/>
        <v>217.23</v>
      </c>
      <c r="AU6" s="17">
        <f t="shared" si="2"/>
        <v>233.7</v>
      </c>
      <c r="AV6" s="17">
        <f t="shared" si="2"/>
        <v>266.38</v>
      </c>
      <c r="AW6" s="17">
        <f t="shared" si="2"/>
        <v>255.5</v>
      </c>
      <c r="AX6" s="17">
        <f t="shared" si="2"/>
        <v>197.37</v>
      </c>
      <c r="AY6" s="17">
        <f t="shared" si="2"/>
        <v>219.46</v>
      </c>
      <c r="AZ6" s="17">
        <f t="shared" si="2"/>
        <v>140.31</v>
      </c>
    </row>
    <row r="7" spans="1:52" x14ac:dyDescent="0.35">
      <c r="AB7" s="12" t="s">
        <v>53</v>
      </c>
      <c r="AC7" s="17">
        <f>B31</f>
        <v>0</v>
      </c>
      <c r="AD7" s="17">
        <f t="shared" ref="AD7:AZ7" si="3">C31</f>
        <v>0</v>
      </c>
      <c r="AE7" s="17">
        <f t="shared" si="3"/>
        <v>0</v>
      </c>
      <c r="AF7" s="17">
        <f t="shared" si="3"/>
        <v>0</v>
      </c>
      <c r="AG7" s="17">
        <f t="shared" si="3"/>
        <v>0</v>
      </c>
      <c r="AH7" s="17">
        <f t="shared" si="3"/>
        <v>0</v>
      </c>
      <c r="AI7" s="17">
        <f t="shared" si="3"/>
        <v>0</v>
      </c>
      <c r="AJ7" s="17">
        <f t="shared" si="3"/>
        <v>0</v>
      </c>
      <c r="AK7" s="17">
        <f t="shared" si="3"/>
        <v>0</v>
      </c>
      <c r="AL7" s="17">
        <f t="shared" si="3"/>
        <v>0</v>
      </c>
      <c r="AM7" s="17">
        <f t="shared" si="3"/>
        <v>0</v>
      </c>
      <c r="AN7" s="17">
        <f t="shared" si="3"/>
        <v>0</v>
      </c>
      <c r="AO7" s="17">
        <f t="shared" si="3"/>
        <v>0</v>
      </c>
      <c r="AP7" s="17">
        <f t="shared" si="3"/>
        <v>0</v>
      </c>
      <c r="AQ7" s="17">
        <f t="shared" si="3"/>
        <v>0</v>
      </c>
      <c r="AR7" s="17">
        <f t="shared" si="3"/>
        <v>0</v>
      </c>
      <c r="AS7" s="17">
        <f t="shared" si="3"/>
        <v>0</v>
      </c>
      <c r="AT7" s="17">
        <f t="shared" si="3"/>
        <v>0</v>
      </c>
      <c r="AU7" s="17">
        <f t="shared" si="3"/>
        <v>0</v>
      </c>
      <c r="AV7" s="17">
        <f t="shared" si="3"/>
        <v>0</v>
      </c>
      <c r="AW7" s="17">
        <f t="shared" si="3"/>
        <v>0</v>
      </c>
      <c r="AX7" s="17">
        <f t="shared" si="3"/>
        <v>0</v>
      </c>
      <c r="AY7" s="17">
        <f t="shared" si="3"/>
        <v>0</v>
      </c>
      <c r="AZ7" s="17">
        <f t="shared" si="3"/>
        <v>0</v>
      </c>
    </row>
    <row r="8" spans="1:52" x14ac:dyDescent="0.35">
      <c r="AB8" s="12" t="s">
        <v>55</v>
      </c>
      <c r="AC8" s="17">
        <f>B40</f>
        <v>0</v>
      </c>
      <c r="AD8" s="17">
        <f t="shared" ref="AD8:AZ8" si="4">C40</f>
        <v>0</v>
      </c>
      <c r="AE8" s="17">
        <f t="shared" si="4"/>
        <v>0</v>
      </c>
      <c r="AF8" s="17">
        <f t="shared" si="4"/>
        <v>0</v>
      </c>
      <c r="AG8" s="17">
        <f t="shared" si="4"/>
        <v>0</v>
      </c>
      <c r="AH8" s="17">
        <f t="shared" si="4"/>
        <v>0</v>
      </c>
      <c r="AI8" s="17">
        <f t="shared" si="4"/>
        <v>0</v>
      </c>
      <c r="AJ8" s="17">
        <f t="shared" si="4"/>
        <v>0</v>
      </c>
      <c r="AK8" s="17">
        <f t="shared" si="4"/>
        <v>0</v>
      </c>
      <c r="AL8" s="17">
        <f t="shared" si="4"/>
        <v>0</v>
      </c>
      <c r="AM8" s="17">
        <f t="shared" si="4"/>
        <v>0</v>
      </c>
      <c r="AN8" s="17">
        <f t="shared" si="4"/>
        <v>0</v>
      </c>
      <c r="AO8" s="17">
        <f t="shared" si="4"/>
        <v>0</v>
      </c>
      <c r="AP8" s="17">
        <f t="shared" si="4"/>
        <v>0</v>
      </c>
      <c r="AQ8" s="17">
        <f t="shared" si="4"/>
        <v>0</v>
      </c>
      <c r="AR8" s="17">
        <f t="shared" si="4"/>
        <v>0</v>
      </c>
      <c r="AS8" s="17">
        <f t="shared" si="4"/>
        <v>0</v>
      </c>
      <c r="AT8" s="17">
        <f t="shared" si="4"/>
        <v>0</v>
      </c>
      <c r="AU8" s="17">
        <f t="shared" si="4"/>
        <v>0</v>
      </c>
      <c r="AV8" s="17">
        <f t="shared" si="4"/>
        <v>0</v>
      </c>
      <c r="AW8" s="17">
        <f t="shared" si="4"/>
        <v>0</v>
      </c>
      <c r="AX8" s="17">
        <f t="shared" si="4"/>
        <v>0</v>
      </c>
      <c r="AY8" s="17">
        <f t="shared" si="4"/>
        <v>0</v>
      </c>
      <c r="AZ8" s="17">
        <f t="shared" si="4"/>
        <v>0</v>
      </c>
    </row>
    <row r="9" spans="1:52" x14ac:dyDescent="0.35">
      <c r="AB9" s="12" t="s">
        <v>57</v>
      </c>
      <c r="AC9" s="17">
        <f>B49</f>
        <v>400</v>
      </c>
      <c r="AD9" s="17">
        <f t="shared" ref="AD9:AZ9" si="5">C49</f>
        <v>338.51</v>
      </c>
      <c r="AE9" s="17">
        <f t="shared" si="5"/>
        <v>347.43</v>
      </c>
      <c r="AF9" s="17">
        <f t="shared" si="5"/>
        <v>333.57</v>
      </c>
      <c r="AG9" s="17">
        <f t="shared" si="5"/>
        <v>371.75</v>
      </c>
      <c r="AH9" s="17">
        <f t="shared" si="5"/>
        <v>272.38</v>
      </c>
      <c r="AI9" s="17">
        <f t="shared" si="5"/>
        <v>309.17</v>
      </c>
      <c r="AJ9" s="17">
        <f t="shared" si="5"/>
        <v>237.33</v>
      </c>
      <c r="AK9" s="17">
        <f t="shared" si="5"/>
        <v>308.58999999999997</v>
      </c>
      <c r="AL9" s="17">
        <f t="shared" si="5"/>
        <v>390.99</v>
      </c>
      <c r="AM9" s="17">
        <f t="shared" si="5"/>
        <v>288.67</v>
      </c>
      <c r="AN9" s="17">
        <f t="shared" si="5"/>
        <v>180.56</v>
      </c>
      <c r="AO9" s="17">
        <f t="shared" si="5"/>
        <v>118.54</v>
      </c>
      <c r="AP9" s="17">
        <f t="shared" si="5"/>
        <v>134.03</v>
      </c>
      <c r="AQ9" s="17">
        <f t="shared" si="5"/>
        <v>127.09</v>
      </c>
      <c r="AR9" s="17">
        <f t="shared" si="5"/>
        <v>101.32</v>
      </c>
      <c r="AS9" s="17">
        <f t="shared" si="5"/>
        <v>185.4</v>
      </c>
      <c r="AT9" s="17">
        <f t="shared" si="5"/>
        <v>217.23</v>
      </c>
      <c r="AU9" s="17">
        <f t="shared" si="5"/>
        <v>233.7</v>
      </c>
      <c r="AV9" s="17">
        <f t="shared" si="5"/>
        <v>266.38</v>
      </c>
      <c r="AW9" s="17">
        <f t="shared" si="5"/>
        <v>255.5</v>
      </c>
      <c r="AX9" s="17">
        <f t="shared" si="5"/>
        <v>197.37</v>
      </c>
      <c r="AY9" s="17">
        <f t="shared" si="5"/>
        <v>219.46</v>
      </c>
      <c r="AZ9" s="17">
        <f t="shared" si="5"/>
        <v>140.31</v>
      </c>
    </row>
    <row r="10" spans="1:52" x14ac:dyDescent="0.35">
      <c r="A10" t="s">
        <v>49</v>
      </c>
      <c r="AB10" s="12" t="s">
        <v>59</v>
      </c>
      <c r="AC10" s="17">
        <f>B58</f>
        <v>400</v>
      </c>
      <c r="AD10" s="17">
        <f t="shared" ref="AD10:AZ10" si="6">C58</f>
        <v>338.51</v>
      </c>
      <c r="AE10" s="17">
        <f t="shared" si="6"/>
        <v>347.43</v>
      </c>
      <c r="AF10" s="17">
        <f t="shared" si="6"/>
        <v>333.57</v>
      </c>
      <c r="AG10" s="17">
        <f t="shared" si="6"/>
        <v>371.75</v>
      </c>
      <c r="AH10" s="17">
        <f t="shared" si="6"/>
        <v>272.38</v>
      </c>
      <c r="AI10" s="17">
        <f t="shared" si="6"/>
        <v>309.17</v>
      </c>
      <c r="AJ10" s="17">
        <f t="shared" si="6"/>
        <v>237.33</v>
      </c>
      <c r="AK10" s="17">
        <f t="shared" si="6"/>
        <v>308.58999999999997</v>
      </c>
      <c r="AL10" s="17">
        <f t="shared" si="6"/>
        <v>390.99</v>
      </c>
      <c r="AM10" s="17">
        <f t="shared" si="6"/>
        <v>288.67</v>
      </c>
      <c r="AN10" s="17">
        <f t="shared" si="6"/>
        <v>180.56</v>
      </c>
      <c r="AO10" s="17">
        <f t="shared" si="6"/>
        <v>118.54</v>
      </c>
      <c r="AP10" s="17">
        <f t="shared" si="6"/>
        <v>134.03</v>
      </c>
      <c r="AQ10" s="17">
        <f t="shared" si="6"/>
        <v>127.09</v>
      </c>
      <c r="AR10" s="17">
        <f t="shared" si="6"/>
        <v>101.32</v>
      </c>
      <c r="AS10" s="17">
        <f t="shared" si="6"/>
        <v>185.4</v>
      </c>
      <c r="AT10" s="17">
        <f t="shared" si="6"/>
        <v>217.23</v>
      </c>
      <c r="AU10" s="17">
        <f t="shared" si="6"/>
        <v>233.7</v>
      </c>
      <c r="AV10" s="17">
        <f t="shared" si="6"/>
        <v>266.38</v>
      </c>
      <c r="AW10" s="17">
        <f t="shared" si="6"/>
        <v>255.5</v>
      </c>
      <c r="AX10" s="17">
        <f t="shared" si="6"/>
        <v>197.37</v>
      </c>
      <c r="AY10" s="17">
        <f t="shared" si="6"/>
        <v>219.46</v>
      </c>
      <c r="AZ10" s="17">
        <f t="shared" si="6"/>
        <v>140.31</v>
      </c>
    </row>
    <row r="11" spans="1:52" s="5" customFormat="1" x14ac:dyDescent="0.35">
      <c r="A11" s="23" t="s">
        <v>47</v>
      </c>
      <c r="B11" s="26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spans="1:52" s="5" customFormat="1" x14ac:dyDescent="0.35">
      <c r="A12" s="23"/>
      <c r="B12" s="7">
        <v>1</v>
      </c>
      <c r="C12" s="7">
        <v>2</v>
      </c>
      <c r="D12" s="7">
        <v>3</v>
      </c>
      <c r="E12" s="7">
        <v>4</v>
      </c>
      <c r="F12" s="7">
        <v>5</v>
      </c>
      <c r="G12" s="7">
        <v>6</v>
      </c>
      <c r="H12" s="7">
        <v>7</v>
      </c>
      <c r="I12" s="7">
        <v>8</v>
      </c>
      <c r="J12" s="7">
        <v>9</v>
      </c>
      <c r="K12" s="7">
        <v>10</v>
      </c>
      <c r="L12" s="7">
        <v>11</v>
      </c>
      <c r="M12" s="7">
        <v>12</v>
      </c>
      <c r="N12" s="7">
        <v>13</v>
      </c>
      <c r="O12" s="7">
        <v>14</v>
      </c>
      <c r="P12" s="7">
        <v>15</v>
      </c>
      <c r="Q12" s="7">
        <v>16</v>
      </c>
      <c r="R12" s="7">
        <v>17</v>
      </c>
      <c r="S12" s="7">
        <v>18</v>
      </c>
      <c r="T12" s="7">
        <v>19</v>
      </c>
      <c r="U12" s="7">
        <v>20</v>
      </c>
      <c r="V12" s="7">
        <v>21</v>
      </c>
      <c r="W12" s="7">
        <v>22</v>
      </c>
      <c r="X12" s="7">
        <v>23</v>
      </c>
      <c r="Y12" s="7">
        <v>24</v>
      </c>
    </row>
    <row r="13" spans="1:52" x14ac:dyDescent="0.35">
      <c r="A13" s="18" t="s">
        <v>44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AB13" t="s">
        <v>45</v>
      </c>
    </row>
    <row r="14" spans="1:52" x14ac:dyDescent="0.35">
      <c r="A14" s="18" t="s">
        <v>45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AB14" s="25" t="s">
        <v>0</v>
      </c>
      <c r="AC14" s="25" t="s">
        <v>10</v>
      </c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spans="1:52" x14ac:dyDescent="0.35">
      <c r="A15" s="18" t="s">
        <v>46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AB15" s="25"/>
      <c r="AC15" s="15">
        <v>1</v>
      </c>
      <c r="AD15" s="15">
        <v>2</v>
      </c>
      <c r="AE15" s="15">
        <v>3</v>
      </c>
      <c r="AF15" s="15">
        <v>4</v>
      </c>
      <c r="AG15" s="15">
        <v>5</v>
      </c>
      <c r="AH15" s="15">
        <v>6</v>
      </c>
      <c r="AI15" s="15">
        <v>7</v>
      </c>
      <c r="AJ15" s="15">
        <v>8</v>
      </c>
      <c r="AK15" s="15">
        <v>9</v>
      </c>
      <c r="AL15" s="15">
        <v>10</v>
      </c>
      <c r="AM15" s="15">
        <v>11</v>
      </c>
      <c r="AN15" s="15">
        <v>12</v>
      </c>
      <c r="AO15" s="15">
        <v>13</v>
      </c>
      <c r="AP15" s="15">
        <v>14</v>
      </c>
      <c r="AQ15" s="15">
        <v>15</v>
      </c>
      <c r="AR15" s="15">
        <v>16</v>
      </c>
      <c r="AS15" s="15">
        <v>17</v>
      </c>
      <c r="AT15" s="15">
        <v>18</v>
      </c>
      <c r="AU15" s="15">
        <v>19</v>
      </c>
      <c r="AV15" s="15">
        <v>20</v>
      </c>
      <c r="AW15" s="15">
        <v>21</v>
      </c>
      <c r="AX15" s="15">
        <v>22</v>
      </c>
      <c r="AY15" s="15">
        <v>23</v>
      </c>
      <c r="AZ15" s="15">
        <v>24</v>
      </c>
    </row>
    <row r="16" spans="1:52" x14ac:dyDescent="0.35">
      <c r="AB16" s="12" t="s">
        <v>7</v>
      </c>
      <c r="AC16" s="17">
        <f>B5</f>
        <v>0</v>
      </c>
      <c r="AD16" s="17">
        <f t="shared" ref="AD16:AZ16" si="7">C5</f>
        <v>0</v>
      </c>
      <c r="AE16" s="17">
        <f t="shared" si="7"/>
        <v>0</v>
      </c>
      <c r="AF16" s="17">
        <f t="shared" si="7"/>
        <v>0</v>
      </c>
      <c r="AG16" s="17">
        <f t="shared" si="7"/>
        <v>0</v>
      </c>
      <c r="AH16" s="17">
        <f t="shared" si="7"/>
        <v>0</v>
      </c>
      <c r="AI16" s="17">
        <f t="shared" si="7"/>
        <v>0</v>
      </c>
      <c r="AJ16" s="17">
        <f t="shared" si="7"/>
        <v>0</v>
      </c>
      <c r="AK16" s="17">
        <f t="shared" si="7"/>
        <v>0</v>
      </c>
      <c r="AL16" s="17">
        <f t="shared" si="7"/>
        <v>0</v>
      </c>
      <c r="AM16" s="17">
        <f t="shared" si="7"/>
        <v>0</v>
      </c>
      <c r="AN16" s="17">
        <f t="shared" si="7"/>
        <v>0</v>
      </c>
      <c r="AO16" s="17">
        <f t="shared" si="7"/>
        <v>0</v>
      </c>
      <c r="AP16" s="17">
        <f t="shared" si="7"/>
        <v>0</v>
      </c>
      <c r="AQ16" s="17">
        <f t="shared" si="7"/>
        <v>0</v>
      </c>
      <c r="AR16" s="17">
        <f t="shared" si="7"/>
        <v>0</v>
      </c>
      <c r="AS16" s="17">
        <f t="shared" si="7"/>
        <v>0</v>
      </c>
      <c r="AT16" s="17">
        <f t="shared" si="7"/>
        <v>0</v>
      </c>
      <c r="AU16" s="17">
        <f t="shared" si="7"/>
        <v>0</v>
      </c>
      <c r="AV16" s="17">
        <f t="shared" si="7"/>
        <v>0</v>
      </c>
      <c r="AW16" s="17">
        <f t="shared" si="7"/>
        <v>0</v>
      </c>
      <c r="AX16" s="17">
        <f t="shared" si="7"/>
        <v>0</v>
      </c>
      <c r="AY16" s="17">
        <f t="shared" si="7"/>
        <v>0</v>
      </c>
      <c r="AZ16" s="17">
        <f t="shared" si="7"/>
        <v>0</v>
      </c>
    </row>
    <row r="17" spans="1:52" x14ac:dyDescent="0.35">
      <c r="AB17" s="12" t="s">
        <v>49</v>
      </c>
      <c r="AC17" s="17">
        <f>B14</f>
        <v>0</v>
      </c>
      <c r="AD17" s="17">
        <f t="shared" ref="AD17:AZ17" si="8">C14</f>
        <v>0</v>
      </c>
      <c r="AE17" s="17">
        <f t="shared" si="8"/>
        <v>0</v>
      </c>
      <c r="AF17" s="17">
        <f t="shared" si="8"/>
        <v>0</v>
      </c>
      <c r="AG17" s="17">
        <f t="shared" si="8"/>
        <v>0</v>
      </c>
      <c r="AH17" s="17">
        <f t="shared" si="8"/>
        <v>0</v>
      </c>
      <c r="AI17" s="17">
        <f t="shared" si="8"/>
        <v>0</v>
      </c>
      <c r="AJ17" s="17">
        <f t="shared" si="8"/>
        <v>0</v>
      </c>
      <c r="AK17" s="17">
        <f t="shared" si="8"/>
        <v>0</v>
      </c>
      <c r="AL17" s="17">
        <f t="shared" si="8"/>
        <v>0</v>
      </c>
      <c r="AM17" s="17">
        <f t="shared" si="8"/>
        <v>0</v>
      </c>
      <c r="AN17" s="17">
        <f t="shared" si="8"/>
        <v>0</v>
      </c>
      <c r="AO17" s="17">
        <f t="shared" si="8"/>
        <v>0</v>
      </c>
      <c r="AP17" s="17">
        <f t="shared" si="8"/>
        <v>0</v>
      </c>
      <c r="AQ17" s="17">
        <f t="shared" si="8"/>
        <v>0</v>
      </c>
      <c r="AR17" s="17">
        <f t="shared" si="8"/>
        <v>0</v>
      </c>
      <c r="AS17" s="17">
        <f t="shared" si="8"/>
        <v>0</v>
      </c>
      <c r="AT17" s="17">
        <f t="shared" si="8"/>
        <v>0</v>
      </c>
      <c r="AU17" s="17">
        <f t="shared" si="8"/>
        <v>0</v>
      </c>
      <c r="AV17" s="17">
        <f t="shared" si="8"/>
        <v>0</v>
      </c>
      <c r="AW17" s="17">
        <f t="shared" si="8"/>
        <v>0</v>
      </c>
      <c r="AX17" s="17">
        <f t="shared" si="8"/>
        <v>0</v>
      </c>
      <c r="AY17" s="17">
        <f t="shared" si="8"/>
        <v>0</v>
      </c>
      <c r="AZ17" s="17">
        <f t="shared" si="8"/>
        <v>0</v>
      </c>
    </row>
    <row r="18" spans="1:52" x14ac:dyDescent="0.35">
      <c r="AB18" s="12" t="s">
        <v>51</v>
      </c>
      <c r="AC18" s="17">
        <f>B24</f>
        <v>400</v>
      </c>
      <c r="AD18" s="17">
        <f t="shared" ref="AD18:AZ18" si="9">C24</f>
        <v>338.51</v>
      </c>
      <c r="AE18" s="17">
        <f t="shared" si="9"/>
        <v>347.43</v>
      </c>
      <c r="AF18" s="17">
        <f t="shared" si="9"/>
        <v>333.57</v>
      </c>
      <c r="AG18" s="17">
        <f t="shared" si="9"/>
        <v>371.75</v>
      </c>
      <c r="AH18" s="17">
        <f t="shared" si="9"/>
        <v>272.38</v>
      </c>
      <c r="AI18" s="17">
        <f t="shared" si="9"/>
        <v>309.17</v>
      </c>
      <c r="AJ18" s="17">
        <f t="shared" si="9"/>
        <v>237.33</v>
      </c>
      <c r="AK18" s="17">
        <f t="shared" si="9"/>
        <v>308.58999999999997</v>
      </c>
      <c r="AL18" s="17">
        <f t="shared" si="9"/>
        <v>390.99</v>
      </c>
      <c r="AM18" s="17">
        <f t="shared" si="9"/>
        <v>288.67</v>
      </c>
      <c r="AN18" s="17">
        <f t="shared" si="9"/>
        <v>180.56</v>
      </c>
      <c r="AO18" s="17">
        <f t="shared" si="9"/>
        <v>118.54</v>
      </c>
      <c r="AP18" s="17">
        <f t="shared" si="9"/>
        <v>134.03</v>
      </c>
      <c r="AQ18" s="17">
        <f t="shared" si="9"/>
        <v>127.09</v>
      </c>
      <c r="AR18" s="17">
        <f t="shared" si="9"/>
        <v>101.32</v>
      </c>
      <c r="AS18" s="17">
        <f t="shared" si="9"/>
        <v>185.4</v>
      </c>
      <c r="AT18" s="17">
        <f t="shared" si="9"/>
        <v>217.23</v>
      </c>
      <c r="AU18" s="17">
        <f t="shared" si="9"/>
        <v>233.7</v>
      </c>
      <c r="AV18" s="17">
        <f t="shared" si="9"/>
        <v>266.38</v>
      </c>
      <c r="AW18" s="17">
        <f t="shared" si="9"/>
        <v>255.5</v>
      </c>
      <c r="AX18" s="17">
        <f t="shared" si="9"/>
        <v>197.37</v>
      </c>
      <c r="AY18" s="17">
        <f t="shared" si="9"/>
        <v>219.46</v>
      </c>
      <c r="AZ18" s="17">
        <f t="shared" si="9"/>
        <v>140.31</v>
      </c>
    </row>
    <row r="19" spans="1:52" x14ac:dyDescent="0.35">
      <c r="A19" t="s">
        <v>51</v>
      </c>
      <c r="AB19" s="12" t="s">
        <v>53</v>
      </c>
      <c r="AC19" s="17">
        <f>B32</f>
        <v>0</v>
      </c>
      <c r="AD19" s="17">
        <f t="shared" ref="AD19:AZ19" si="10">C32</f>
        <v>0</v>
      </c>
      <c r="AE19" s="17">
        <f t="shared" si="10"/>
        <v>0</v>
      </c>
      <c r="AF19" s="17">
        <f t="shared" si="10"/>
        <v>0</v>
      </c>
      <c r="AG19" s="17">
        <f t="shared" si="10"/>
        <v>0</v>
      </c>
      <c r="AH19" s="17">
        <f t="shared" si="10"/>
        <v>0</v>
      </c>
      <c r="AI19" s="17">
        <f t="shared" si="10"/>
        <v>0</v>
      </c>
      <c r="AJ19" s="17">
        <f t="shared" si="10"/>
        <v>0</v>
      </c>
      <c r="AK19" s="17">
        <f t="shared" si="10"/>
        <v>0</v>
      </c>
      <c r="AL19" s="17">
        <f t="shared" si="10"/>
        <v>0</v>
      </c>
      <c r="AM19" s="17">
        <f t="shared" si="10"/>
        <v>0</v>
      </c>
      <c r="AN19" s="17">
        <f t="shared" si="10"/>
        <v>0</v>
      </c>
      <c r="AO19" s="17">
        <f t="shared" si="10"/>
        <v>0</v>
      </c>
      <c r="AP19" s="17">
        <f t="shared" si="10"/>
        <v>0</v>
      </c>
      <c r="AQ19" s="17">
        <f t="shared" si="10"/>
        <v>0</v>
      </c>
      <c r="AR19" s="17">
        <f t="shared" si="10"/>
        <v>0</v>
      </c>
      <c r="AS19" s="17">
        <f t="shared" si="10"/>
        <v>0</v>
      </c>
      <c r="AT19" s="17">
        <f t="shared" si="10"/>
        <v>0</v>
      </c>
      <c r="AU19" s="17">
        <f t="shared" si="10"/>
        <v>0</v>
      </c>
      <c r="AV19" s="17">
        <f t="shared" si="10"/>
        <v>0</v>
      </c>
      <c r="AW19" s="17">
        <f t="shared" si="10"/>
        <v>0</v>
      </c>
      <c r="AX19" s="17">
        <f t="shared" si="10"/>
        <v>0</v>
      </c>
      <c r="AY19" s="17">
        <f t="shared" si="10"/>
        <v>0</v>
      </c>
      <c r="AZ19" s="17">
        <f t="shared" si="10"/>
        <v>0</v>
      </c>
    </row>
    <row r="20" spans="1:52" s="5" customFormat="1" x14ac:dyDescent="0.35">
      <c r="A20" s="23" t="s">
        <v>47</v>
      </c>
      <c r="B20" s="26" t="s">
        <v>10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AB20" s="12" t="s">
        <v>55</v>
      </c>
      <c r="AC20" s="17">
        <f>B41</f>
        <v>0</v>
      </c>
      <c r="AD20" s="17">
        <f t="shared" ref="AD20:AZ20" si="11">C41</f>
        <v>0</v>
      </c>
      <c r="AE20" s="17">
        <f t="shared" si="11"/>
        <v>0</v>
      </c>
      <c r="AF20" s="17">
        <f t="shared" si="11"/>
        <v>0</v>
      </c>
      <c r="AG20" s="17">
        <f t="shared" si="11"/>
        <v>0</v>
      </c>
      <c r="AH20" s="17">
        <f t="shared" si="11"/>
        <v>0</v>
      </c>
      <c r="AI20" s="17">
        <f t="shared" si="11"/>
        <v>0</v>
      </c>
      <c r="AJ20" s="17">
        <f t="shared" si="11"/>
        <v>0</v>
      </c>
      <c r="AK20" s="17">
        <f t="shared" si="11"/>
        <v>0</v>
      </c>
      <c r="AL20" s="17">
        <f t="shared" si="11"/>
        <v>0</v>
      </c>
      <c r="AM20" s="17">
        <f t="shared" si="11"/>
        <v>0</v>
      </c>
      <c r="AN20" s="17">
        <f t="shared" si="11"/>
        <v>0</v>
      </c>
      <c r="AO20" s="17">
        <f t="shared" si="11"/>
        <v>0</v>
      </c>
      <c r="AP20" s="17">
        <f t="shared" si="11"/>
        <v>0</v>
      </c>
      <c r="AQ20" s="17">
        <f t="shared" si="11"/>
        <v>0</v>
      </c>
      <c r="AR20" s="17">
        <f t="shared" si="11"/>
        <v>0</v>
      </c>
      <c r="AS20" s="17">
        <f t="shared" si="11"/>
        <v>0</v>
      </c>
      <c r="AT20" s="17">
        <f t="shared" si="11"/>
        <v>0</v>
      </c>
      <c r="AU20" s="17">
        <f t="shared" si="11"/>
        <v>0</v>
      </c>
      <c r="AV20" s="17">
        <f t="shared" si="11"/>
        <v>0</v>
      </c>
      <c r="AW20" s="17">
        <f t="shared" si="11"/>
        <v>0</v>
      </c>
      <c r="AX20" s="17">
        <f t="shared" si="11"/>
        <v>0</v>
      </c>
      <c r="AY20" s="17">
        <f t="shared" si="11"/>
        <v>0</v>
      </c>
      <c r="AZ20" s="17">
        <f t="shared" si="11"/>
        <v>0</v>
      </c>
    </row>
    <row r="21" spans="1:52" s="5" customFormat="1" x14ac:dyDescent="0.35">
      <c r="A21" s="23"/>
      <c r="B21" s="7">
        <v>1</v>
      </c>
      <c r="C21" s="7">
        <v>2</v>
      </c>
      <c r="D21" s="7">
        <v>3</v>
      </c>
      <c r="E21" s="7">
        <v>4</v>
      </c>
      <c r="F21" s="7">
        <v>5</v>
      </c>
      <c r="G21" s="7">
        <v>6</v>
      </c>
      <c r="H21" s="7">
        <v>7</v>
      </c>
      <c r="I21" s="7">
        <v>8</v>
      </c>
      <c r="J21" s="7">
        <v>9</v>
      </c>
      <c r="K21" s="7">
        <v>10</v>
      </c>
      <c r="L21" s="7">
        <v>11</v>
      </c>
      <c r="M21" s="7">
        <v>12</v>
      </c>
      <c r="N21" s="7">
        <v>13</v>
      </c>
      <c r="O21" s="7">
        <v>14</v>
      </c>
      <c r="P21" s="7">
        <v>15</v>
      </c>
      <c r="Q21" s="7">
        <v>16</v>
      </c>
      <c r="R21" s="7">
        <v>17</v>
      </c>
      <c r="S21" s="7">
        <v>18</v>
      </c>
      <c r="T21" s="7">
        <v>19</v>
      </c>
      <c r="U21" s="7">
        <v>20</v>
      </c>
      <c r="V21" s="7">
        <v>21</v>
      </c>
      <c r="W21" s="7">
        <v>22</v>
      </c>
      <c r="X21" s="7">
        <v>23</v>
      </c>
      <c r="Y21" s="7">
        <v>24</v>
      </c>
      <c r="AB21" s="12" t="s">
        <v>57</v>
      </c>
      <c r="AC21" s="17">
        <f>B50</f>
        <v>76.17</v>
      </c>
      <c r="AD21" s="17">
        <f t="shared" ref="AD21:AZ21" si="12">C50</f>
        <v>0</v>
      </c>
      <c r="AE21" s="17">
        <f t="shared" si="12"/>
        <v>0</v>
      </c>
      <c r="AF21" s="17">
        <f t="shared" si="12"/>
        <v>0</v>
      </c>
      <c r="AG21" s="17">
        <f t="shared" si="12"/>
        <v>0</v>
      </c>
      <c r="AH21" s="17">
        <f t="shared" si="12"/>
        <v>0</v>
      </c>
      <c r="AI21" s="17">
        <f t="shared" si="12"/>
        <v>0</v>
      </c>
      <c r="AJ21" s="17">
        <f t="shared" si="12"/>
        <v>0</v>
      </c>
      <c r="AK21" s="17">
        <f t="shared" si="12"/>
        <v>0</v>
      </c>
      <c r="AL21" s="17">
        <f t="shared" si="12"/>
        <v>0</v>
      </c>
      <c r="AM21" s="17">
        <f t="shared" si="12"/>
        <v>0</v>
      </c>
      <c r="AN21" s="17">
        <f t="shared" si="12"/>
        <v>0</v>
      </c>
      <c r="AO21" s="17">
        <f t="shared" si="12"/>
        <v>0</v>
      </c>
      <c r="AP21" s="17">
        <f t="shared" si="12"/>
        <v>0</v>
      </c>
      <c r="AQ21" s="17">
        <f t="shared" si="12"/>
        <v>0</v>
      </c>
      <c r="AR21" s="17">
        <f t="shared" si="12"/>
        <v>0</v>
      </c>
      <c r="AS21" s="17">
        <f t="shared" si="12"/>
        <v>0</v>
      </c>
      <c r="AT21" s="17">
        <f t="shared" si="12"/>
        <v>0</v>
      </c>
      <c r="AU21" s="17">
        <f t="shared" si="12"/>
        <v>0</v>
      </c>
      <c r="AV21" s="17">
        <f t="shared" si="12"/>
        <v>0</v>
      </c>
      <c r="AW21" s="17">
        <f t="shared" si="12"/>
        <v>0</v>
      </c>
      <c r="AX21" s="17">
        <f t="shared" si="12"/>
        <v>0</v>
      </c>
      <c r="AY21" s="17">
        <f t="shared" si="12"/>
        <v>0</v>
      </c>
      <c r="AZ21" s="17">
        <f t="shared" si="12"/>
        <v>0</v>
      </c>
    </row>
    <row r="22" spans="1:52" x14ac:dyDescent="0.35">
      <c r="A22" s="18" t="s">
        <v>44</v>
      </c>
      <c r="B22" s="13">
        <v>400</v>
      </c>
      <c r="C22" s="13">
        <v>338.51</v>
      </c>
      <c r="D22" s="13">
        <v>347.43</v>
      </c>
      <c r="E22" s="13">
        <v>333.57</v>
      </c>
      <c r="F22" s="13">
        <v>371.75</v>
      </c>
      <c r="G22" s="13">
        <v>272.38</v>
      </c>
      <c r="H22" s="13">
        <v>309.17</v>
      </c>
      <c r="I22" s="13">
        <v>237.33</v>
      </c>
      <c r="J22" s="13">
        <v>308.58999999999997</v>
      </c>
      <c r="K22" s="13">
        <v>390.99</v>
      </c>
      <c r="L22" s="13">
        <v>288.67</v>
      </c>
      <c r="M22" s="13">
        <v>180.56</v>
      </c>
      <c r="N22" s="13">
        <v>118.54</v>
      </c>
      <c r="O22" s="13">
        <v>134.03</v>
      </c>
      <c r="P22" s="13">
        <v>127.09</v>
      </c>
      <c r="Q22" s="13">
        <v>101.32</v>
      </c>
      <c r="R22" s="13">
        <v>185.4</v>
      </c>
      <c r="S22" s="13">
        <v>217.23</v>
      </c>
      <c r="T22" s="13">
        <v>233.7</v>
      </c>
      <c r="U22" s="13">
        <v>266.38</v>
      </c>
      <c r="V22" s="13">
        <v>255.5</v>
      </c>
      <c r="W22" s="13">
        <v>197.37</v>
      </c>
      <c r="X22" s="13">
        <v>219.46</v>
      </c>
      <c r="Y22" s="13">
        <v>140.31</v>
      </c>
      <c r="AB22" s="12" t="s">
        <v>59</v>
      </c>
      <c r="AC22" s="17">
        <f>B59</f>
        <v>76.17</v>
      </c>
      <c r="AD22" s="17">
        <f t="shared" ref="AD22:AZ22" si="13">C59</f>
        <v>0</v>
      </c>
      <c r="AE22" s="17">
        <f t="shared" si="13"/>
        <v>0</v>
      </c>
      <c r="AF22" s="17">
        <f t="shared" si="13"/>
        <v>0</v>
      </c>
      <c r="AG22" s="17">
        <f t="shared" si="13"/>
        <v>0</v>
      </c>
      <c r="AH22" s="17">
        <f t="shared" si="13"/>
        <v>0</v>
      </c>
      <c r="AI22" s="17">
        <f t="shared" si="13"/>
        <v>0</v>
      </c>
      <c r="AJ22" s="17">
        <f t="shared" si="13"/>
        <v>0</v>
      </c>
      <c r="AK22" s="17">
        <f t="shared" si="13"/>
        <v>0</v>
      </c>
      <c r="AL22" s="17">
        <f t="shared" si="13"/>
        <v>0</v>
      </c>
      <c r="AM22" s="17">
        <f t="shared" si="13"/>
        <v>0</v>
      </c>
      <c r="AN22" s="17">
        <f t="shared" si="13"/>
        <v>0</v>
      </c>
      <c r="AO22" s="17">
        <f t="shared" si="13"/>
        <v>0</v>
      </c>
      <c r="AP22" s="17">
        <f t="shared" si="13"/>
        <v>0</v>
      </c>
      <c r="AQ22" s="17">
        <f t="shared" si="13"/>
        <v>0</v>
      </c>
      <c r="AR22" s="17">
        <f t="shared" si="13"/>
        <v>0</v>
      </c>
      <c r="AS22" s="17">
        <f t="shared" si="13"/>
        <v>0</v>
      </c>
      <c r="AT22" s="17">
        <f t="shared" si="13"/>
        <v>0</v>
      </c>
      <c r="AU22" s="17">
        <f t="shared" si="13"/>
        <v>0</v>
      </c>
      <c r="AV22" s="17">
        <f t="shared" si="13"/>
        <v>0</v>
      </c>
      <c r="AW22" s="17">
        <f t="shared" si="13"/>
        <v>0</v>
      </c>
      <c r="AX22" s="17">
        <f t="shared" si="13"/>
        <v>0</v>
      </c>
      <c r="AY22" s="17">
        <f t="shared" si="13"/>
        <v>0</v>
      </c>
      <c r="AZ22" s="17">
        <f t="shared" si="13"/>
        <v>0</v>
      </c>
    </row>
    <row r="23" spans="1:52" x14ac:dyDescent="0.35">
      <c r="A23" s="18" t="s">
        <v>45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</row>
    <row r="24" spans="1:52" x14ac:dyDescent="0.35">
      <c r="A24" s="18" t="s">
        <v>46</v>
      </c>
      <c r="B24" s="13">
        <v>400</v>
      </c>
      <c r="C24" s="13">
        <v>338.51</v>
      </c>
      <c r="D24" s="13">
        <v>347.43</v>
      </c>
      <c r="E24" s="13">
        <v>333.57</v>
      </c>
      <c r="F24" s="13">
        <v>371.75</v>
      </c>
      <c r="G24" s="13">
        <v>272.38</v>
      </c>
      <c r="H24" s="13">
        <v>309.17</v>
      </c>
      <c r="I24" s="13">
        <v>237.33</v>
      </c>
      <c r="J24" s="13">
        <v>308.58999999999997</v>
      </c>
      <c r="K24" s="13">
        <v>390.99</v>
      </c>
      <c r="L24" s="13">
        <v>288.67</v>
      </c>
      <c r="M24" s="13">
        <v>180.56</v>
      </c>
      <c r="N24" s="13">
        <v>118.54</v>
      </c>
      <c r="O24" s="13">
        <v>134.03</v>
      </c>
      <c r="P24" s="13">
        <v>127.09</v>
      </c>
      <c r="Q24" s="13">
        <v>101.32</v>
      </c>
      <c r="R24" s="13">
        <v>185.4</v>
      </c>
      <c r="S24" s="13">
        <v>217.23</v>
      </c>
      <c r="T24" s="13">
        <v>233.7</v>
      </c>
      <c r="U24" s="13">
        <v>266.38</v>
      </c>
      <c r="V24" s="13">
        <v>255.5</v>
      </c>
      <c r="W24" s="13">
        <v>197.37</v>
      </c>
      <c r="X24" s="13">
        <v>219.46</v>
      </c>
      <c r="Y24" s="13">
        <v>140.31</v>
      </c>
    </row>
    <row r="25" spans="1:52" x14ac:dyDescent="0.35">
      <c r="AB25" t="s">
        <v>46</v>
      </c>
    </row>
    <row r="26" spans="1:52" x14ac:dyDescent="0.35">
      <c r="AB26" s="25" t="s">
        <v>0</v>
      </c>
      <c r="AC26" s="25" t="s">
        <v>10</v>
      </c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</row>
    <row r="27" spans="1:52" x14ac:dyDescent="0.35">
      <c r="AB27" s="25"/>
      <c r="AC27" s="15">
        <v>1</v>
      </c>
      <c r="AD27" s="15">
        <v>2</v>
      </c>
      <c r="AE27" s="15">
        <v>3</v>
      </c>
      <c r="AF27" s="15">
        <v>4</v>
      </c>
      <c r="AG27" s="15">
        <v>5</v>
      </c>
      <c r="AH27" s="15">
        <v>6</v>
      </c>
      <c r="AI27" s="15">
        <v>7</v>
      </c>
      <c r="AJ27" s="15">
        <v>8</v>
      </c>
      <c r="AK27" s="15">
        <v>9</v>
      </c>
      <c r="AL27" s="15">
        <v>10</v>
      </c>
      <c r="AM27" s="15">
        <v>11</v>
      </c>
      <c r="AN27" s="15">
        <v>12</v>
      </c>
      <c r="AO27" s="15">
        <v>13</v>
      </c>
      <c r="AP27" s="15">
        <v>14</v>
      </c>
      <c r="AQ27" s="15">
        <v>15</v>
      </c>
      <c r="AR27" s="15">
        <v>16</v>
      </c>
      <c r="AS27" s="15">
        <v>17</v>
      </c>
      <c r="AT27" s="15">
        <v>18</v>
      </c>
      <c r="AU27" s="15">
        <v>19</v>
      </c>
      <c r="AV27" s="15">
        <v>20</v>
      </c>
      <c r="AW27" s="15">
        <v>21</v>
      </c>
      <c r="AX27" s="15">
        <v>22</v>
      </c>
      <c r="AY27" s="15">
        <v>23</v>
      </c>
      <c r="AZ27" s="15">
        <v>24</v>
      </c>
    </row>
    <row r="28" spans="1:52" x14ac:dyDescent="0.35">
      <c r="A28" t="s">
        <v>53</v>
      </c>
      <c r="AB28" s="12" t="s">
        <v>7</v>
      </c>
      <c r="AC28" s="17">
        <f>B6</f>
        <v>0</v>
      </c>
      <c r="AD28" s="17">
        <f t="shared" ref="AD28:AZ28" si="14">C6</f>
        <v>0</v>
      </c>
      <c r="AE28" s="17">
        <f t="shared" si="14"/>
        <v>0</v>
      </c>
      <c r="AF28" s="17">
        <f t="shared" si="14"/>
        <v>0</v>
      </c>
      <c r="AG28" s="17">
        <f t="shared" si="14"/>
        <v>0</v>
      </c>
      <c r="AH28" s="17">
        <f t="shared" si="14"/>
        <v>0</v>
      </c>
      <c r="AI28" s="17">
        <f t="shared" si="14"/>
        <v>0</v>
      </c>
      <c r="AJ28" s="17">
        <f t="shared" si="14"/>
        <v>0</v>
      </c>
      <c r="AK28" s="17">
        <f t="shared" si="14"/>
        <v>0</v>
      </c>
      <c r="AL28" s="17">
        <f t="shared" si="14"/>
        <v>0</v>
      </c>
      <c r="AM28" s="17">
        <f t="shared" si="14"/>
        <v>0</v>
      </c>
      <c r="AN28" s="17">
        <f t="shared" si="14"/>
        <v>0</v>
      </c>
      <c r="AO28" s="17">
        <f t="shared" si="14"/>
        <v>0</v>
      </c>
      <c r="AP28" s="17">
        <f t="shared" si="14"/>
        <v>0</v>
      </c>
      <c r="AQ28" s="17">
        <f t="shared" si="14"/>
        <v>0</v>
      </c>
      <c r="AR28" s="17">
        <f t="shared" si="14"/>
        <v>0</v>
      </c>
      <c r="AS28" s="17">
        <f t="shared" si="14"/>
        <v>0</v>
      </c>
      <c r="AT28" s="17">
        <f t="shared" si="14"/>
        <v>0</v>
      </c>
      <c r="AU28" s="17">
        <f t="shared" si="14"/>
        <v>0</v>
      </c>
      <c r="AV28" s="17">
        <f t="shared" si="14"/>
        <v>0</v>
      </c>
      <c r="AW28" s="17">
        <f t="shared" si="14"/>
        <v>0</v>
      </c>
      <c r="AX28" s="17">
        <f t="shared" si="14"/>
        <v>0</v>
      </c>
      <c r="AY28" s="17">
        <f t="shared" si="14"/>
        <v>0</v>
      </c>
      <c r="AZ28" s="17">
        <f t="shared" si="14"/>
        <v>0</v>
      </c>
    </row>
    <row r="29" spans="1:52" s="5" customFormat="1" x14ac:dyDescent="0.35">
      <c r="A29" s="23" t="s">
        <v>47</v>
      </c>
      <c r="B29" s="26" t="s">
        <v>10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B29" s="12" t="s">
        <v>49</v>
      </c>
      <c r="AC29" s="17">
        <f>B15</f>
        <v>0</v>
      </c>
      <c r="AD29" s="17">
        <f t="shared" ref="AD29:AZ29" si="15">C15</f>
        <v>0</v>
      </c>
      <c r="AE29" s="17">
        <f t="shared" si="15"/>
        <v>0</v>
      </c>
      <c r="AF29" s="17">
        <f t="shared" si="15"/>
        <v>0</v>
      </c>
      <c r="AG29" s="17">
        <f t="shared" si="15"/>
        <v>0</v>
      </c>
      <c r="AH29" s="17">
        <f t="shared" si="15"/>
        <v>0</v>
      </c>
      <c r="AI29" s="17">
        <f t="shared" si="15"/>
        <v>0</v>
      </c>
      <c r="AJ29" s="17">
        <f t="shared" si="15"/>
        <v>0</v>
      </c>
      <c r="AK29" s="17">
        <f t="shared" si="15"/>
        <v>0</v>
      </c>
      <c r="AL29" s="17">
        <f t="shared" si="15"/>
        <v>0</v>
      </c>
      <c r="AM29" s="17">
        <f t="shared" si="15"/>
        <v>0</v>
      </c>
      <c r="AN29" s="17">
        <f t="shared" si="15"/>
        <v>0</v>
      </c>
      <c r="AO29" s="17">
        <f t="shared" si="15"/>
        <v>0</v>
      </c>
      <c r="AP29" s="17">
        <f t="shared" si="15"/>
        <v>0</v>
      </c>
      <c r="AQ29" s="17">
        <f t="shared" si="15"/>
        <v>0</v>
      </c>
      <c r="AR29" s="17">
        <f t="shared" si="15"/>
        <v>0</v>
      </c>
      <c r="AS29" s="17">
        <f t="shared" si="15"/>
        <v>0</v>
      </c>
      <c r="AT29" s="17">
        <f t="shared" si="15"/>
        <v>0</v>
      </c>
      <c r="AU29" s="17">
        <f t="shared" si="15"/>
        <v>0</v>
      </c>
      <c r="AV29" s="17">
        <f t="shared" si="15"/>
        <v>0</v>
      </c>
      <c r="AW29" s="17">
        <f t="shared" si="15"/>
        <v>0</v>
      </c>
      <c r="AX29" s="17">
        <f t="shared" si="15"/>
        <v>0</v>
      </c>
      <c r="AY29" s="17">
        <f t="shared" si="15"/>
        <v>0</v>
      </c>
      <c r="AZ29" s="17">
        <f t="shared" si="15"/>
        <v>0</v>
      </c>
    </row>
    <row r="30" spans="1:52" s="5" customFormat="1" x14ac:dyDescent="0.35">
      <c r="A30" s="23"/>
      <c r="B30" s="7">
        <v>1</v>
      </c>
      <c r="C30" s="7">
        <v>2</v>
      </c>
      <c r="D30" s="7">
        <v>3</v>
      </c>
      <c r="E30" s="7">
        <v>4</v>
      </c>
      <c r="F30" s="7">
        <v>5</v>
      </c>
      <c r="G30" s="7">
        <v>6</v>
      </c>
      <c r="H30" s="7">
        <v>7</v>
      </c>
      <c r="I30" s="7">
        <v>8</v>
      </c>
      <c r="J30" s="7">
        <v>9</v>
      </c>
      <c r="K30" s="7">
        <v>10</v>
      </c>
      <c r="L30" s="7">
        <v>11</v>
      </c>
      <c r="M30" s="7">
        <v>12</v>
      </c>
      <c r="N30" s="7">
        <v>13</v>
      </c>
      <c r="O30" s="7">
        <v>14</v>
      </c>
      <c r="P30" s="7">
        <v>15</v>
      </c>
      <c r="Q30" s="7">
        <v>16</v>
      </c>
      <c r="R30" s="7">
        <v>17</v>
      </c>
      <c r="S30" s="7">
        <v>18</v>
      </c>
      <c r="T30" s="7">
        <v>19</v>
      </c>
      <c r="U30" s="7">
        <v>20</v>
      </c>
      <c r="V30" s="7">
        <v>21</v>
      </c>
      <c r="W30" s="7">
        <v>22</v>
      </c>
      <c r="X30" s="7">
        <v>23</v>
      </c>
      <c r="Y30" s="7">
        <v>24</v>
      </c>
      <c r="AB30" s="12" t="s">
        <v>51</v>
      </c>
      <c r="AC30" s="17">
        <f>B24</f>
        <v>400</v>
      </c>
      <c r="AD30" s="17">
        <f t="shared" ref="AD30:AZ30" si="16">C24</f>
        <v>338.51</v>
      </c>
      <c r="AE30" s="17">
        <f t="shared" si="16"/>
        <v>347.43</v>
      </c>
      <c r="AF30" s="17">
        <f t="shared" si="16"/>
        <v>333.57</v>
      </c>
      <c r="AG30" s="17">
        <f t="shared" si="16"/>
        <v>371.75</v>
      </c>
      <c r="AH30" s="17">
        <f t="shared" si="16"/>
        <v>272.38</v>
      </c>
      <c r="AI30" s="17">
        <f t="shared" si="16"/>
        <v>309.17</v>
      </c>
      <c r="AJ30" s="17">
        <f t="shared" si="16"/>
        <v>237.33</v>
      </c>
      <c r="AK30" s="17">
        <f t="shared" si="16"/>
        <v>308.58999999999997</v>
      </c>
      <c r="AL30" s="17">
        <f t="shared" si="16"/>
        <v>390.99</v>
      </c>
      <c r="AM30" s="17">
        <f t="shared" si="16"/>
        <v>288.67</v>
      </c>
      <c r="AN30" s="17">
        <f t="shared" si="16"/>
        <v>180.56</v>
      </c>
      <c r="AO30" s="17">
        <f t="shared" si="16"/>
        <v>118.54</v>
      </c>
      <c r="AP30" s="17">
        <f t="shared" si="16"/>
        <v>134.03</v>
      </c>
      <c r="AQ30" s="17">
        <f t="shared" si="16"/>
        <v>127.09</v>
      </c>
      <c r="AR30" s="17">
        <f t="shared" si="16"/>
        <v>101.32</v>
      </c>
      <c r="AS30" s="17">
        <f t="shared" si="16"/>
        <v>185.4</v>
      </c>
      <c r="AT30" s="17">
        <f t="shared" si="16"/>
        <v>217.23</v>
      </c>
      <c r="AU30" s="17">
        <f t="shared" si="16"/>
        <v>233.7</v>
      </c>
      <c r="AV30" s="17">
        <f t="shared" si="16"/>
        <v>266.38</v>
      </c>
      <c r="AW30" s="17">
        <f t="shared" si="16"/>
        <v>255.5</v>
      </c>
      <c r="AX30" s="17">
        <f t="shared" si="16"/>
        <v>197.37</v>
      </c>
      <c r="AY30" s="17">
        <f t="shared" si="16"/>
        <v>219.46</v>
      </c>
      <c r="AZ30" s="17">
        <f t="shared" si="16"/>
        <v>140.31</v>
      </c>
    </row>
    <row r="31" spans="1:52" x14ac:dyDescent="0.35">
      <c r="A31" s="18" t="s">
        <v>44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AB31" s="12" t="s">
        <v>53</v>
      </c>
      <c r="AC31" s="17">
        <f>B33</f>
        <v>0</v>
      </c>
      <c r="AD31" s="17">
        <f t="shared" ref="AD31:AZ31" si="17">C33</f>
        <v>0</v>
      </c>
      <c r="AE31" s="17">
        <f t="shared" si="17"/>
        <v>0</v>
      </c>
      <c r="AF31" s="17">
        <f t="shared" si="17"/>
        <v>0</v>
      </c>
      <c r="AG31" s="17">
        <f t="shared" si="17"/>
        <v>0</v>
      </c>
      <c r="AH31" s="17">
        <f t="shared" si="17"/>
        <v>0</v>
      </c>
      <c r="AI31" s="17">
        <f t="shared" si="17"/>
        <v>0</v>
      </c>
      <c r="AJ31" s="17">
        <f t="shared" si="17"/>
        <v>0</v>
      </c>
      <c r="AK31" s="17">
        <f t="shared" si="17"/>
        <v>0</v>
      </c>
      <c r="AL31" s="17">
        <f t="shared" si="17"/>
        <v>0</v>
      </c>
      <c r="AM31" s="17">
        <f t="shared" si="17"/>
        <v>0</v>
      </c>
      <c r="AN31" s="17">
        <f t="shared" si="17"/>
        <v>0</v>
      </c>
      <c r="AO31" s="17">
        <f t="shared" si="17"/>
        <v>0</v>
      </c>
      <c r="AP31" s="17">
        <f t="shared" si="17"/>
        <v>0</v>
      </c>
      <c r="AQ31" s="17">
        <f t="shared" si="17"/>
        <v>0</v>
      </c>
      <c r="AR31" s="17">
        <f t="shared" si="17"/>
        <v>0</v>
      </c>
      <c r="AS31" s="17">
        <f t="shared" si="17"/>
        <v>0</v>
      </c>
      <c r="AT31" s="17">
        <f t="shared" si="17"/>
        <v>0</v>
      </c>
      <c r="AU31" s="17">
        <f t="shared" si="17"/>
        <v>0</v>
      </c>
      <c r="AV31" s="17">
        <f t="shared" si="17"/>
        <v>0</v>
      </c>
      <c r="AW31" s="17">
        <f t="shared" si="17"/>
        <v>0</v>
      </c>
      <c r="AX31" s="17">
        <f t="shared" si="17"/>
        <v>0</v>
      </c>
      <c r="AY31" s="17">
        <f t="shared" si="17"/>
        <v>0</v>
      </c>
      <c r="AZ31" s="17">
        <f t="shared" si="17"/>
        <v>0</v>
      </c>
    </row>
    <row r="32" spans="1:52" x14ac:dyDescent="0.35">
      <c r="A32" s="18" t="s">
        <v>45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AB32" s="12" t="s">
        <v>55</v>
      </c>
      <c r="AC32" s="17">
        <f>B42</f>
        <v>0</v>
      </c>
      <c r="AD32" s="17">
        <f t="shared" ref="AD32:AZ32" si="18">C42</f>
        <v>0</v>
      </c>
      <c r="AE32" s="17">
        <f t="shared" si="18"/>
        <v>0</v>
      </c>
      <c r="AF32" s="17">
        <f t="shared" si="18"/>
        <v>0</v>
      </c>
      <c r="AG32" s="17">
        <f t="shared" si="18"/>
        <v>0</v>
      </c>
      <c r="AH32" s="17">
        <f t="shared" si="18"/>
        <v>0</v>
      </c>
      <c r="AI32" s="17">
        <f t="shared" si="18"/>
        <v>0</v>
      </c>
      <c r="AJ32" s="17">
        <f t="shared" si="18"/>
        <v>0</v>
      </c>
      <c r="AK32" s="17">
        <f t="shared" si="18"/>
        <v>0</v>
      </c>
      <c r="AL32" s="17">
        <f t="shared" si="18"/>
        <v>0</v>
      </c>
      <c r="AM32" s="17">
        <f t="shared" si="18"/>
        <v>0</v>
      </c>
      <c r="AN32" s="17">
        <f t="shared" si="18"/>
        <v>0</v>
      </c>
      <c r="AO32" s="17">
        <f t="shared" si="18"/>
        <v>0</v>
      </c>
      <c r="AP32" s="17">
        <f t="shared" si="18"/>
        <v>0</v>
      </c>
      <c r="AQ32" s="17">
        <f t="shared" si="18"/>
        <v>0</v>
      </c>
      <c r="AR32" s="17">
        <f t="shared" si="18"/>
        <v>0</v>
      </c>
      <c r="AS32" s="17">
        <f t="shared" si="18"/>
        <v>0</v>
      </c>
      <c r="AT32" s="17">
        <f t="shared" si="18"/>
        <v>0</v>
      </c>
      <c r="AU32" s="17">
        <f t="shared" si="18"/>
        <v>0</v>
      </c>
      <c r="AV32" s="17">
        <f t="shared" si="18"/>
        <v>0</v>
      </c>
      <c r="AW32" s="17">
        <f t="shared" si="18"/>
        <v>0</v>
      </c>
      <c r="AX32" s="17">
        <f t="shared" si="18"/>
        <v>0</v>
      </c>
      <c r="AY32" s="17">
        <f t="shared" si="18"/>
        <v>0</v>
      </c>
      <c r="AZ32" s="17">
        <f t="shared" si="18"/>
        <v>0</v>
      </c>
    </row>
    <row r="33" spans="1:52" x14ac:dyDescent="0.35">
      <c r="A33" s="18" t="s">
        <v>46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AB33" s="12" t="s">
        <v>57</v>
      </c>
      <c r="AC33" s="17">
        <f>B51</f>
        <v>323.83</v>
      </c>
      <c r="AD33" s="17">
        <f t="shared" ref="AD33:AZ33" si="19">C51</f>
        <v>338.51</v>
      </c>
      <c r="AE33" s="17">
        <f t="shared" si="19"/>
        <v>347.43</v>
      </c>
      <c r="AF33" s="17">
        <f t="shared" si="19"/>
        <v>333.57</v>
      </c>
      <c r="AG33" s="17">
        <f t="shared" si="19"/>
        <v>371.75</v>
      </c>
      <c r="AH33" s="17">
        <f t="shared" si="19"/>
        <v>272.38</v>
      </c>
      <c r="AI33" s="17">
        <f t="shared" si="19"/>
        <v>309.17</v>
      </c>
      <c r="AJ33" s="17">
        <f t="shared" si="19"/>
        <v>237.33</v>
      </c>
      <c r="AK33" s="17">
        <f t="shared" si="19"/>
        <v>308.58999999999997</v>
      </c>
      <c r="AL33" s="17">
        <f t="shared" si="19"/>
        <v>390.99</v>
      </c>
      <c r="AM33" s="17">
        <f t="shared" si="19"/>
        <v>288.67</v>
      </c>
      <c r="AN33" s="17">
        <f t="shared" si="19"/>
        <v>180.56</v>
      </c>
      <c r="AO33" s="17">
        <f t="shared" si="19"/>
        <v>118.54</v>
      </c>
      <c r="AP33" s="17">
        <f t="shared" si="19"/>
        <v>134.03</v>
      </c>
      <c r="AQ33" s="17">
        <f t="shared" si="19"/>
        <v>127.09</v>
      </c>
      <c r="AR33" s="17">
        <f t="shared" si="19"/>
        <v>101.32</v>
      </c>
      <c r="AS33" s="17">
        <f t="shared" si="19"/>
        <v>185.4</v>
      </c>
      <c r="AT33" s="17">
        <f t="shared" si="19"/>
        <v>217.23</v>
      </c>
      <c r="AU33" s="17">
        <f t="shared" si="19"/>
        <v>233.7</v>
      </c>
      <c r="AV33" s="17">
        <f t="shared" si="19"/>
        <v>266.38</v>
      </c>
      <c r="AW33" s="17">
        <f t="shared" si="19"/>
        <v>255.5</v>
      </c>
      <c r="AX33" s="17">
        <f t="shared" si="19"/>
        <v>197.37</v>
      </c>
      <c r="AY33" s="17">
        <f t="shared" si="19"/>
        <v>219.46</v>
      </c>
      <c r="AZ33" s="17">
        <f t="shared" si="19"/>
        <v>140.31</v>
      </c>
    </row>
    <row r="34" spans="1:52" x14ac:dyDescent="0.35">
      <c r="AB34" s="12" t="s">
        <v>59</v>
      </c>
      <c r="AC34" s="17">
        <f>B60</f>
        <v>323.83</v>
      </c>
      <c r="AD34" s="17">
        <f t="shared" ref="AD34:AZ34" si="20">C60</f>
        <v>338.51</v>
      </c>
      <c r="AE34" s="17">
        <f t="shared" si="20"/>
        <v>347.43</v>
      </c>
      <c r="AF34" s="17">
        <f t="shared" si="20"/>
        <v>333.57</v>
      </c>
      <c r="AG34" s="17">
        <f t="shared" si="20"/>
        <v>371.75</v>
      </c>
      <c r="AH34" s="17">
        <f t="shared" si="20"/>
        <v>272.38</v>
      </c>
      <c r="AI34" s="17">
        <f t="shared" si="20"/>
        <v>309.17</v>
      </c>
      <c r="AJ34" s="17">
        <f t="shared" si="20"/>
        <v>237.33</v>
      </c>
      <c r="AK34" s="17">
        <f t="shared" si="20"/>
        <v>308.58999999999997</v>
      </c>
      <c r="AL34" s="17">
        <f t="shared" si="20"/>
        <v>390.99</v>
      </c>
      <c r="AM34" s="17">
        <f t="shared" si="20"/>
        <v>288.67</v>
      </c>
      <c r="AN34" s="17">
        <f t="shared" si="20"/>
        <v>180.56</v>
      </c>
      <c r="AO34" s="17">
        <f t="shared" si="20"/>
        <v>118.54</v>
      </c>
      <c r="AP34" s="17">
        <f t="shared" si="20"/>
        <v>134.03</v>
      </c>
      <c r="AQ34" s="17">
        <f t="shared" si="20"/>
        <v>127.09</v>
      </c>
      <c r="AR34" s="17">
        <f t="shared" si="20"/>
        <v>101.32</v>
      </c>
      <c r="AS34" s="17">
        <f t="shared" si="20"/>
        <v>185.4</v>
      </c>
      <c r="AT34" s="17">
        <f t="shared" si="20"/>
        <v>217.23</v>
      </c>
      <c r="AU34" s="17">
        <f t="shared" si="20"/>
        <v>233.7</v>
      </c>
      <c r="AV34" s="17">
        <f t="shared" si="20"/>
        <v>266.38</v>
      </c>
      <c r="AW34" s="17">
        <f t="shared" si="20"/>
        <v>255.5</v>
      </c>
      <c r="AX34" s="17">
        <f t="shared" si="20"/>
        <v>197.37</v>
      </c>
      <c r="AY34" s="17">
        <f t="shared" si="20"/>
        <v>219.46</v>
      </c>
      <c r="AZ34" s="17">
        <f t="shared" si="20"/>
        <v>140.31</v>
      </c>
    </row>
    <row r="37" spans="1:52" x14ac:dyDescent="0.35">
      <c r="A37" t="s">
        <v>55</v>
      </c>
    </row>
    <row r="38" spans="1:52" x14ac:dyDescent="0.35">
      <c r="A38" s="23" t="s">
        <v>47</v>
      </c>
      <c r="B38" s="26" t="s">
        <v>10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52" x14ac:dyDescent="0.35">
      <c r="A39" s="23"/>
      <c r="B39" s="7">
        <v>1</v>
      </c>
      <c r="C39" s="7">
        <v>2</v>
      </c>
      <c r="D39" s="7">
        <v>3</v>
      </c>
      <c r="E39" s="7">
        <v>4</v>
      </c>
      <c r="F39" s="7">
        <v>5</v>
      </c>
      <c r="G39" s="7">
        <v>6</v>
      </c>
      <c r="H39" s="7">
        <v>7</v>
      </c>
      <c r="I39" s="7">
        <v>8</v>
      </c>
      <c r="J39" s="7">
        <v>9</v>
      </c>
      <c r="K39" s="7">
        <v>10</v>
      </c>
      <c r="L39" s="7">
        <v>11</v>
      </c>
      <c r="M39" s="7">
        <v>12</v>
      </c>
      <c r="N39" s="7">
        <v>13</v>
      </c>
      <c r="O39" s="7">
        <v>14</v>
      </c>
      <c r="P39" s="7">
        <v>15</v>
      </c>
      <c r="Q39" s="7">
        <v>16</v>
      </c>
      <c r="R39" s="7">
        <v>17</v>
      </c>
      <c r="S39" s="7">
        <v>18</v>
      </c>
      <c r="T39" s="7">
        <v>19</v>
      </c>
      <c r="U39" s="7">
        <v>20</v>
      </c>
      <c r="V39" s="7">
        <v>21</v>
      </c>
      <c r="W39" s="7">
        <v>22</v>
      </c>
      <c r="X39" s="7">
        <v>23</v>
      </c>
      <c r="Y39" s="7">
        <v>24</v>
      </c>
    </row>
    <row r="40" spans="1:52" x14ac:dyDescent="0.35">
      <c r="A40" s="18" t="s">
        <v>44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</row>
    <row r="41" spans="1:52" x14ac:dyDescent="0.35">
      <c r="A41" s="18" t="s">
        <v>45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</row>
    <row r="42" spans="1:52" x14ac:dyDescent="0.35">
      <c r="A42" s="18" t="s">
        <v>46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</row>
    <row r="46" spans="1:52" x14ac:dyDescent="0.35">
      <c r="A46" t="s">
        <v>57</v>
      </c>
    </row>
    <row r="47" spans="1:52" x14ac:dyDescent="0.35">
      <c r="A47" s="23" t="s">
        <v>47</v>
      </c>
      <c r="B47" s="26" t="s">
        <v>10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52" x14ac:dyDescent="0.35">
      <c r="A48" s="23"/>
      <c r="B48" s="7">
        <v>1</v>
      </c>
      <c r="C48" s="7">
        <v>2</v>
      </c>
      <c r="D48" s="7">
        <v>3</v>
      </c>
      <c r="E48" s="7">
        <v>4</v>
      </c>
      <c r="F48" s="7">
        <v>5</v>
      </c>
      <c r="G48" s="7">
        <v>6</v>
      </c>
      <c r="H48" s="7">
        <v>7</v>
      </c>
      <c r="I48" s="7">
        <v>8</v>
      </c>
      <c r="J48" s="7">
        <v>9</v>
      </c>
      <c r="K48" s="7">
        <v>10</v>
      </c>
      <c r="L48" s="7">
        <v>11</v>
      </c>
      <c r="M48" s="7">
        <v>12</v>
      </c>
      <c r="N48" s="7">
        <v>13</v>
      </c>
      <c r="O48" s="7">
        <v>14</v>
      </c>
      <c r="P48" s="7">
        <v>15</v>
      </c>
      <c r="Q48" s="7">
        <v>16</v>
      </c>
      <c r="R48" s="7">
        <v>17</v>
      </c>
      <c r="S48" s="7">
        <v>18</v>
      </c>
      <c r="T48" s="7">
        <v>19</v>
      </c>
      <c r="U48" s="7">
        <v>20</v>
      </c>
      <c r="V48" s="7">
        <v>21</v>
      </c>
      <c r="W48" s="7">
        <v>22</v>
      </c>
      <c r="X48" s="7">
        <v>23</v>
      </c>
      <c r="Y48" s="7">
        <v>24</v>
      </c>
    </row>
    <row r="49" spans="1:25" x14ac:dyDescent="0.35">
      <c r="A49" s="18" t="s">
        <v>44</v>
      </c>
      <c r="B49" s="13">
        <v>400</v>
      </c>
      <c r="C49" s="13">
        <v>338.51</v>
      </c>
      <c r="D49" s="13">
        <v>347.43</v>
      </c>
      <c r="E49" s="13">
        <v>333.57</v>
      </c>
      <c r="F49" s="13">
        <v>371.75</v>
      </c>
      <c r="G49" s="13">
        <v>272.38</v>
      </c>
      <c r="H49" s="13">
        <v>309.17</v>
      </c>
      <c r="I49" s="13">
        <v>237.33</v>
      </c>
      <c r="J49" s="13">
        <v>308.58999999999997</v>
      </c>
      <c r="K49" s="13">
        <v>390.99</v>
      </c>
      <c r="L49" s="13">
        <v>288.67</v>
      </c>
      <c r="M49" s="13">
        <v>180.56</v>
      </c>
      <c r="N49" s="13">
        <v>118.54</v>
      </c>
      <c r="O49" s="13">
        <v>134.03</v>
      </c>
      <c r="P49" s="13">
        <v>127.09</v>
      </c>
      <c r="Q49" s="13">
        <v>101.32</v>
      </c>
      <c r="R49" s="13">
        <v>185.4</v>
      </c>
      <c r="S49" s="13">
        <v>217.23</v>
      </c>
      <c r="T49" s="13">
        <v>233.7</v>
      </c>
      <c r="U49" s="13">
        <v>266.38</v>
      </c>
      <c r="V49" s="13">
        <v>255.5</v>
      </c>
      <c r="W49" s="13">
        <v>197.37</v>
      </c>
      <c r="X49" s="13">
        <v>219.46</v>
      </c>
      <c r="Y49" s="13">
        <v>140.31</v>
      </c>
    </row>
    <row r="50" spans="1:25" x14ac:dyDescent="0.35">
      <c r="A50" s="18" t="s">
        <v>45</v>
      </c>
      <c r="B50" s="13">
        <v>76.17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</row>
    <row r="51" spans="1:25" x14ac:dyDescent="0.35">
      <c r="A51" s="18" t="s">
        <v>46</v>
      </c>
      <c r="B51" s="13">
        <v>323.83</v>
      </c>
      <c r="C51" s="13">
        <v>338.51</v>
      </c>
      <c r="D51" s="13">
        <v>347.43</v>
      </c>
      <c r="E51" s="13">
        <v>333.57</v>
      </c>
      <c r="F51" s="13">
        <v>371.75</v>
      </c>
      <c r="G51" s="13">
        <v>272.38</v>
      </c>
      <c r="H51" s="13">
        <v>309.17</v>
      </c>
      <c r="I51" s="13">
        <v>237.33</v>
      </c>
      <c r="J51" s="13">
        <v>308.58999999999997</v>
      </c>
      <c r="K51" s="13">
        <v>390.99</v>
      </c>
      <c r="L51" s="13">
        <v>288.67</v>
      </c>
      <c r="M51" s="13">
        <v>180.56</v>
      </c>
      <c r="N51" s="13">
        <v>118.54</v>
      </c>
      <c r="O51" s="13">
        <v>134.03</v>
      </c>
      <c r="P51" s="13">
        <v>127.09</v>
      </c>
      <c r="Q51" s="13">
        <v>101.32</v>
      </c>
      <c r="R51" s="13">
        <v>185.4</v>
      </c>
      <c r="S51" s="13">
        <v>217.23</v>
      </c>
      <c r="T51" s="13">
        <v>233.7</v>
      </c>
      <c r="U51" s="13">
        <v>266.38</v>
      </c>
      <c r="V51" s="13">
        <v>255.5</v>
      </c>
      <c r="W51" s="13">
        <v>197.37</v>
      </c>
      <c r="X51" s="13">
        <v>219.46</v>
      </c>
      <c r="Y51" s="13">
        <v>140.31</v>
      </c>
    </row>
    <row r="55" spans="1:25" x14ac:dyDescent="0.35">
      <c r="A55" t="s">
        <v>59</v>
      </c>
    </row>
    <row r="56" spans="1:25" x14ac:dyDescent="0.35">
      <c r="A56" s="23" t="s">
        <v>47</v>
      </c>
      <c r="B56" s="26" t="s">
        <v>10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x14ac:dyDescent="0.35">
      <c r="A57" s="23"/>
      <c r="B57" s="7">
        <v>1</v>
      </c>
      <c r="C57" s="7">
        <v>2</v>
      </c>
      <c r="D57" s="7">
        <v>3</v>
      </c>
      <c r="E57" s="7">
        <v>4</v>
      </c>
      <c r="F57" s="7">
        <v>5</v>
      </c>
      <c r="G57" s="7">
        <v>6</v>
      </c>
      <c r="H57" s="7">
        <v>7</v>
      </c>
      <c r="I57" s="7">
        <v>8</v>
      </c>
      <c r="J57" s="7">
        <v>9</v>
      </c>
      <c r="K57" s="7">
        <v>10</v>
      </c>
      <c r="L57" s="7">
        <v>11</v>
      </c>
      <c r="M57" s="7">
        <v>12</v>
      </c>
      <c r="N57" s="7">
        <v>13</v>
      </c>
      <c r="O57" s="7">
        <v>14</v>
      </c>
      <c r="P57" s="7">
        <v>15</v>
      </c>
      <c r="Q57" s="7">
        <v>16</v>
      </c>
      <c r="R57" s="7">
        <v>17</v>
      </c>
      <c r="S57" s="7">
        <v>18</v>
      </c>
      <c r="T57" s="7">
        <v>19</v>
      </c>
      <c r="U57" s="7">
        <v>20</v>
      </c>
      <c r="V57" s="7">
        <v>21</v>
      </c>
      <c r="W57" s="7">
        <v>22</v>
      </c>
      <c r="X57" s="7">
        <v>23</v>
      </c>
      <c r="Y57" s="7">
        <v>24</v>
      </c>
    </row>
    <row r="58" spans="1:25" x14ac:dyDescent="0.35">
      <c r="A58" s="18" t="s">
        <v>44</v>
      </c>
      <c r="B58" s="13">
        <v>400</v>
      </c>
      <c r="C58" s="13">
        <v>338.51</v>
      </c>
      <c r="D58" s="13">
        <v>347.43</v>
      </c>
      <c r="E58" s="13">
        <v>333.57</v>
      </c>
      <c r="F58" s="13">
        <v>371.75</v>
      </c>
      <c r="G58" s="13">
        <v>272.38</v>
      </c>
      <c r="H58" s="13">
        <v>309.17</v>
      </c>
      <c r="I58" s="13">
        <v>237.33</v>
      </c>
      <c r="J58" s="13">
        <v>308.58999999999997</v>
      </c>
      <c r="K58" s="13">
        <v>390.99</v>
      </c>
      <c r="L58" s="13">
        <v>288.67</v>
      </c>
      <c r="M58" s="13">
        <v>180.56</v>
      </c>
      <c r="N58" s="13">
        <v>118.54</v>
      </c>
      <c r="O58" s="13">
        <v>134.03</v>
      </c>
      <c r="P58" s="13">
        <v>127.09</v>
      </c>
      <c r="Q58" s="13">
        <v>101.32</v>
      </c>
      <c r="R58" s="13">
        <v>185.4</v>
      </c>
      <c r="S58" s="13">
        <v>217.23</v>
      </c>
      <c r="T58" s="13">
        <v>233.7</v>
      </c>
      <c r="U58" s="13">
        <v>266.38</v>
      </c>
      <c r="V58" s="13">
        <v>255.5</v>
      </c>
      <c r="W58" s="13">
        <v>197.37</v>
      </c>
      <c r="X58" s="13">
        <v>219.46</v>
      </c>
      <c r="Y58" s="13">
        <v>140.31</v>
      </c>
    </row>
    <row r="59" spans="1:25" x14ac:dyDescent="0.35">
      <c r="A59" s="18" t="s">
        <v>45</v>
      </c>
      <c r="B59" s="13">
        <v>76.17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</row>
    <row r="60" spans="1:25" x14ac:dyDescent="0.35">
      <c r="A60" s="18" t="s">
        <v>46</v>
      </c>
      <c r="B60" s="13">
        <v>323.83</v>
      </c>
      <c r="C60" s="13">
        <v>338.51</v>
      </c>
      <c r="D60" s="13">
        <v>347.43</v>
      </c>
      <c r="E60" s="13">
        <v>333.57</v>
      </c>
      <c r="F60" s="13">
        <v>371.75</v>
      </c>
      <c r="G60" s="13">
        <v>272.38</v>
      </c>
      <c r="H60" s="13">
        <v>309.17</v>
      </c>
      <c r="I60" s="13">
        <v>237.33</v>
      </c>
      <c r="J60" s="13">
        <v>308.58999999999997</v>
      </c>
      <c r="K60" s="13">
        <v>390.99</v>
      </c>
      <c r="L60" s="13">
        <v>288.67</v>
      </c>
      <c r="M60" s="13">
        <v>180.56</v>
      </c>
      <c r="N60" s="13">
        <v>118.54</v>
      </c>
      <c r="O60" s="13">
        <v>134.03</v>
      </c>
      <c r="P60" s="13">
        <v>127.09</v>
      </c>
      <c r="Q60" s="13">
        <v>101.32</v>
      </c>
      <c r="R60" s="13">
        <v>185.4</v>
      </c>
      <c r="S60" s="13">
        <v>217.23</v>
      </c>
      <c r="T60" s="13">
        <v>233.7</v>
      </c>
      <c r="U60" s="13">
        <v>266.38</v>
      </c>
      <c r="V60" s="13">
        <v>255.5</v>
      </c>
      <c r="W60" s="13">
        <v>197.37</v>
      </c>
      <c r="X60" s="13">
        <v>219.46</v>
      </c>
      <c r="Y60" s="13">
        <v>140.31</v>
      </c>
    </row>
  </sheetData>
  <mergeCells count="20">
    <mergeCell ref="A11:A12"/>
    <mergeCell ref="B11:Y11"/>
    <mergeCell ref="A20:A21"/>
    <mergeCell ref="B20:Y20"/>
    <mergeCell ref="A56:A57"/>
    <mergeCell ref="B56:Y56"/>
    <mergeCell ref="AB2:AB3"/>
    <mergeCell ref="AC2:AZ2"/>
    <mergeCell ref="AB14:AB15"/>
    <mergeCell ref="AC14:AZ14"/>
    <mergeCell ref="AB26:AB27"/>
    <mergeCell ref="AC26:AZ26"/>
    <mergeCell ref="A29:A30"/>
    <mergeCell ref="B29:Y29"/>
    <mergeCell ref="A38:A39"/>
    <mergeCell ref="B38:Y38"/>
    <mergeCell ref="A47:A48"/>
    <mergeCell ref="B47:Y47"/>
    <mergeCell ref="A2:A3"/>
    <mergeCell ref="B2:Y2"/>
  </mergeCells>
  <conditionalFormatting sqref="B4:Y6">
    <cfRule type="cellIs" dxfId="9" priority="13" operator="equal">
      <formula>0</formula>
    </cfRule>
  </conditionalFormatting>
  <conditionalFormatting sqref="B13:Y15">
    <cfRule type="cellIs" dxfId="8" priority="12" operator="equal">
      <formula>0</formula>
    </cfRule>
  </conditionalFormatting>
  <conditionalFormatting sqref="B22:Y24">
    <cfRule type="cellIs" dxfId="7" priority="11" operator="equal">
      <formula>0</formula>
    </cfRule>
  </conditionalFormatting>
  <conditionalFormatting sqref="B31:Y33">
    <cfRule type="cellIs" dxfId="6" priority="10" operator="equal">
      <formula>0</formula>
    </cfRule>
  </conditionalFormatting>
  <conditionalFormatting sqref="B40:Y42">
    <cfRule type="cellIs" dxfId="5" priority="9" operator="equal">
      <formula>0</formula>
    </cfRule>
  </conditionalFormatting>
  <conditionalFormatting sqref="B49:Y51">
    <cfRule type="cellIs" dxfId="4" priority="8" operator="equal">
      <formula>0</formula>
    </cfRule>
  </conditionalFormatting>
  <conditionalFormatting sqref="B58:Y60">
    <cfRule type="cellIs" dxfId="3" priority="7" operator="equal">
      <formula>0</formula>
    </cfRule>
  </conditionalFormatting>
  <conditionalFormatting sqref="AC4:AZ10">
    <cfRule type="cellIs" dxfId="2" priority="5" operator="equal">
      <formula>0</formula>
    </cfRule>
  </conditionalFormatting>
  <conditionalFormatting sqref="AC16:AZ22">
    <cfRule type="cellIs" dxfId="1" priority="3" operator="equal">
      <formula>0</formula>
    </cfRule>
  </conditionalFormatting>
  <conditionalFormatting sqref="AC28:AZ34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Constraint</vt:lpstr>
      <vt:lpstr>Total Cost</vt:lpstr>
      <vt:lpstr>Cost of Hour</vt:lpstr>
      <vt:lpstr>Status Unit</vt:lpstr>
      <vt:lpstr>Dispatch</vt:lpstr>
      <vt:lpstr>Inertia</vt:lpstr>
      <vt:lpstr>Reserve</vt:lpstr>
      <vt:lpstr>Battery</vt:lpstr>
      <vt:lpstr>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Aris Risnandar</dc:creator>
  <cp:lastModifiedBy>Muhammad Aris Risnandar</cp:lastModifiedBy>
  <dcterms:created xsi:type="dcterms:W3CDTF">2026-06-14T15:37:18Z</dcterms:created>
  <dcterms:modified xsi:type="dcterms:W3CDTF">2026-06-24T04:05:03Z</dcterms:modified>
</cp:coreProperties>
</file>